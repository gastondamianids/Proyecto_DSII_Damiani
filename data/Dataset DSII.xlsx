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FB8A8BD4F09F85/Documents/"/>
    </mc:Choice>
  </mc:AlternateContent>
  <xr:revisionPtr revIDLastSave="0" documentId="8_{F02C2154-06F0-4BB6-AD5D-FF8B9C35333C}" xr6:coauthVersionLast="47" xr6:coauthVersionMax="47" xr10:uidLastSave="{00000000-0000-0000-0000-000000000000}"/>
  <bookViews>
    <workbookView xWindow="-110" yWindow="-110" windowWidth="19420" windowHeight="11500" xr2:uid="{AAF03F3F-B74E-4F7F-B9D8-235DAC83C9C6}"/>
  </bookViews>
  <sheets>
    <sheet name="Tabla 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002" i="1" l="1" a="1"/>
  <c r="L1002" i="1" s="1"/>
  <c r="M1002" i="1" s="1"/>
  <c r="L1001" i="1" a="1"/>
  <c r="L1001" i="1" s="1"/>
  <c r="M1001" i="1" s="1"/>
  <c r="L1000" i="1"/>
  <c r="M1000" i="1" s="1"/>
  <c r="L1000" i="1" a="1"/>
  <c r="L999" i="1" a="1"/>
  <c r="L999" i="1" s="1"/>
  <c r="M999" i="1" s="1"/>
  <c r="L998" i="1" a="1"/>
  <c r="L998" i="1" s="1"/>
  <c r="M998" i="1" s="1"/>
  <c r="L997" i="1" a="1"/>
  <c r="L997" i="1" s="1"/>
  <c r="M997" i="1" s="1"/>
  <c r="L996" i="1" a="1"/>
  <c r="L996" i="1" s="1"/>
  <c r="M996" i="1" s="1"/>
  <c r="L995" i="1" a="1"/>
  <c r="L995" i="1" s="1"/>
  <c r="M995" i="1" s="1"/>
  <c r="L994" i="1" a="1"/>
  <c r="L994" i="1" s="1"/>
  <c r="M994" i="1" s="1"/>
  <c r="L993" i="1"/>
  <c r="M993" i="1" s="1"/>
  <c r="L993" i="1" a="1"/>
  <c r="L992" i="1" a="1"/>
  <c r="L992" i="1" s="1"/>
  <c r="M992" i="1" s="1"/>
  <c r="L991" i="1" a="1"/>
  <c r="L991" i="1" s="1"/>
  <c r="M991" i="1" s="1"/>
  <c r="L990" i="1" a="1"/>
  <c r="L990" i="1" s="1"/>
  <c r="M990" i="1" s="1"/>
  <c r="M989" i="1"/>
  <c r="L989" i="1" a="1"/>
  <c r="L989" i="1" s="1"/>
  <c r="L988" i="1" a="1"/>
  <c r="L988" i="1" s="1"/>
  <c r="M988" i="1" s="1"/>
  <c r="L987" i="1"/>
  <c r="M987" i="1" s="1"/>
  <c r="L987" i="1" a="1"/>
  <c r="L986" i="1" a="1"/>
  <c r="L986" i="1" s="1"/>
  <c r="M986" i="1" s="1"/>
  <c r="L985" i="1" a="1"/>
  <c r="L985" i="1" s="1"/>
  <c r="M985" i="1" s="1"/>
  <c r="M984" i="1"/>
  <c r="L984" i="1" a="1"/>
  <c r="L984" i="1" s="1"/>
  <c r="L983" i="1" a="1"/>
  <c r="L983" i="1" s="1"/>
  <c r="M983" i="1" s="1"/>
  <c r="L982" i="1" a="1"/>
  <c r="L982" i="1" s="1"/>
  <c r="M982" i="1" s="1"/>
  <c r="L981" i="1"/>
  <c r="M981" i="1" s="1"/>
  <c r="L981" i="1" a="1"/>
  <c r="L980" i="1"/>
  <c r="M980" i="1" s="1"/>
  <c r="L980" i="1" a="1"/>
  <c r="L979" i="1" a="1"/>
  <c r="L979" i="1" s="1"/>
  <c r="M979" i="1" s="1"/>
  <c r="M978" i="1"/>
  <c r="L978" i="1" a="1"/>
  <c r="L978" i="1" s="1"/>
  <c r="L977" i="1" a="1"/>
  <c r="L977" i="1" s="1"/>
  <c r="M977" i="1" s="1"/>
  <c r="L976" i="1" a="1"/>
  <c r="L976" i="1" s="1"/>
  <c r="M976" i="1" s="1"/>
  <c r="L975" i="1" a="1"/>
  <c r="L975" i="1" s="1"/>
  <c r="M975" i="1" s="1"/>
  <c r="L974" i="1" a="1"/>
  <c r="L974" i="1" s="1"/>
  <c r="M974" i="1" s="1"/>
  <c r="L973" i="1" a="1"/>
  <c r="L973" i="1" s="1"/>
  <c r="M973" i="1" s="1"/>
  <c r="M972" i="1"/>
  <c r="L972" i="1"/>
  <c r="L972" i="1" a="1"/>
  <c r="L971" i="1" a="1"/>
  <c r="L971" i="1" s="1"/>
  <c r="M971" i="1" s="1"/>
  <c r="L970" i="1" a="1"/>
  <c r="L970" i="1" s="1"/>
  <c r="M970" i="1" s="1"/>
  <c r="L969" i="1" a="1"/>
  <c r="L969" i="1" s="1"/>
  <c r="M969" i="1" s="1"/>
  <c r="L968" i="1" a="1"/>
  <c r="L968" i="1" s="1"/>
  <c r="M968" i="1" s="1"/>
  <c r="L967" i="1"/>
  <c r="M967" i="1" s="1"/>
  <c r="L967" i="1" a="1"/>
  <c r="L966" i="1" a="1"/>
  <c r="L966" i="1" s="1"/>
  <c r="M966" i="1" s="1"/>
  <c r="L965" i="1"/>
  <c r="M965" i="1" s="1"/>
  <c r="L965" i="1" a="1"/>
  <c r="L964" i="1" a="1"/>
  <c r="L964" i="1" s="1"/>
  <c r="M964" i="1" s="1"/>
  <c r="L963" i="1" a="1"/>
  <c r="L963" i="1" s="1"/>
  <c r="M963" i="1" s="1"/>
  <c r="L962" i="1" a="1"/>
  <c r="L962" i="1" s="1"/>
  <c r="M962" i="1" s="1"/>
  <c r="L961" i="1" a="1"/>
  <c r="L961" i="1" s="1"/>
  <c r="M961" i="1" s="1"/>
  <c r="L960" i="1" a="1"/>
  <c r="L960" i="1" s="1"/>
  <c r="M960" i="1" s="1"/>
  <c r="L959" i="1"/>
  <c r="M959" i="1" s="1"/>
  <c r="L959" i="1" a="1"/>
  <c r="M958" i="1"/>
  <c r="L958" i="1" a="1"/>
  <c r="L958" i="1" s="1"/>
  <c r="L957" i="1" a="1"/>
  <c r="L957" i="1" s="1"/>
  <c r="M957" i="1" s="1"/>
  <c r="L956" i="1" a="1"/>
  <c r="L956" i="1" s="1"/>
  <c r="M956" i="1" s="1"/>
  <c r="M955" i="1"/>
  <c r="L955" i="1"/>
  <c r="L955" i="1" a="1"/>
  <c r="M954" i="1"/>
  <c r="L954" i="1" a="1"/>
  <c r="L954" i="1" s="1"/>
  <c r="L953" i="1" a="1"/>
  <c r="L953" i="1" s="1"/>
  <c r="M953" i="1" s="1"/>
  <c r="L952" i="1"/>
  <c r="M952" i="1" s="1"/>
  <c r="L952" i="1" a="1"/>
  <c r="L951" i="1" a="1"/>
  <c r="L951" i="1" s="1"/>
  <c r="M951" i="1" s="1"/>
  <c r="L950" i="1" a="1"/>
  <c r="L950" i="1" s="1"/>
  <c r="M950" i="1" s="1"/>
  <c r="M949" i="1"/>
  <c r="L949" i="1" a="1"/>
  <c r="L949" i="1" s="1"/>
  <c r="L948" i="1" a="1"/>
  <c r="L948" i="1" s="1"/>
  <c r="M948" i="1" s="1"/>
  <c r="L947" i="1" a="1"/>
  <c r="L947" i="1" s="1"/>
  <c r="M947" i="1" s="1"/>
  <c r="L946" i="1" a="1"/>
  <c r="L946" i="1" s="1"/>
  <c r="M946" i="1" s="1"/>
  <c r="M945" i="1"/>
  <c r="L945" i="1"/>
  <c r="L945" i="1" a="1"/>
  <c r="L944" i="1" a="1"/>
  <c r="L944" i="1" s="1"/>
  <c r="M944" i="1" s="1"/>
  <c r="L943" i="1" a="1"/>
  <c r="L943" i="1" s="1"/>
  <c r="M943" i="1" s="1"/>
  <c r="M942" i="1"/>
  <c r="L942" i="1" a="1"/>
  <c r="L942" i="1" s="1"/>
  <c r="L941" i="1"/>
  <c r="M941" i="1" s="1"/>
  <c r="L941" i="1" a="1"/>
  <c r="L940" i="1" a="1"/>
  <c r="L940" i="1" s="1"/>
  <c r="M940" i="1" s="1"/>
  <c r="L939" i="1"/>
  <c r="M939" i="1" s="1"/>
  <c r="L939" i="1" a="1"/>
  <c r="L938" i="1" a="1"/>
  <c r="L938" i="1" s="1"/>
  <c r="M938" i="1" s="1"/>
  <c r="L937" i="1" a="1"/>
  <c r="L937" i="1" s="1"/>
  <c r="M937" i="1" s="1"/>
  <c r="M936" i="1"/>
  <c r="L936" i="1" a="1"/>
  <c r="L936" i="1" s="1"/>
  <c r="L935" i="1" a="1"/>
  <c r="L935" i="1" s="1"/>
  <c r="M935" i="1" s="1"/>
  <c r="L934" i="1" a="1"/>
  <c r="L934" i="1" s="1"/>
  <c r="M934" i="1" s="1"/>
  <c r="L933" i="1"/>
  <c r="M933" i="1" s="1"/>
  <c r="L933" i="1" a="1"/>
  <c r="L932" i="1"/>
  <c r="M932" i="1" s="1"/>
  <c r="L932" i="1" a="1"/>
  <c r="L931" i="1"/>
  <c r="M931" i="1" s="1"/>
  <c r="L931" i="1" a="1"/>
  <c r="M930" i="1"/>
  <c r="L930" i="1" a="1"/>
  <c r="L930" i="1" s="1"/>
  <c r="L929" i="1" a="1"/>
  <c r="L929" i="1" s="1"/>
  <c r="M929" i="1" s="1"/>
  <c r="L928" i="1" a="1"/>
  <c r="L928" i="1" s="1"/>
  <c r="M928" i="1" s="1"/>
  <c r="L927" i="1" a="1"/>
  <c r="L927" i="1" s="1"/>
  <c r="M927" i="1" s="1"/>
  <c r="L926" i="1" a="1"/>
  <c r="L926" i="1" s="1"/>
  <c r="M926" i="1" s="1"/>
  <c r="L925" i="1"/>
  <c r="M925" i="1" s="1"/>
  <c r="L925" i="1" a="1"/>
  <c r="M924" i="1"/>
  <c r="L924" i="1" a="1"/>
  <c r="L924" i="1" s="1"/>
  <c r="L923" i="1" a="1"/>
  <c r="L923" i="1" s="1"/>
  <c r="M923" i="1" s="1"/>
  <c r="M922" i="1"/>
  <c r="L922" i="1" a="1"/>
  <c r="L922" i="1" s="1"/>
  <c r="L921" i="1" a="1"/>
  <c r="L921" i="1" s="1"/>
  <c r="M921" i="1" s="1"/>
  <c r="L920" i="1"/>
  <c r="M920" i="1" s="1"/>
  <c r="L920" i="1" a="1"/>
  <c r="M919" i="1"/>
  <c r="L919" i="1"/>
  <c r="L919" i="1" a="1"/>
  <c r="L918" i="1" a="1"/>
  <c r="L918" i="1" s="1"/>
  <c r="M918" i="1" s="1"/>
  <c r="L917" i="1"/>
  <c r="M917" i="1" s="1"/>
  <c r="L917" i="1" a="1"/>
  <c r="L916" i="1" a="1"/>
  <c r="L916" i="1" s="1"/>
  <c r="M916" i="1" s="1"/>
  <c r="L915" i="1"/>
  <c r="M915" i="1" s="1"/>
  <c r="L915" i="1" a="1"/>
  <c r="L914" i="1" a="1"/>
  <c r="L914" i="1" s="1"/>
  <c r="M914" i="1" s="1"/>
  <c r="L913" i="1" a="1"/>
  <c r="L913" i="1" s="1"/>
  <c r="M913" i="1" s="1"/>
  <c r="L912" i="1"/>
  <c r="M912" i="1" s="1"/>
  <c r="L912" i="1" a="1"/>
  <c r="L911" i="1"/>
  <c r="M911" i="1" s="1"/>
  <c r="L911" i="1" a="1"/>
  <c r="M910" i="1"/>
  <c r="L910" i="1" a="1"/>
  <c r="L910" i="1" s="1"/>
  <c r="L909" i="1"/>
  <c r="M909" i="1" s="1"/>
  <c r="L909" i="1" a="1"/>
  <c r="L908" i="1" a="1"/>
  <c r="L908" i="1" s="1"/>
  <c r="M908" i="1" s="1"/>
  <c r="L907" i="1"/>
  <c r="M907" i="1" s="1"/>
  <c r="L907" i="1" a="1"/>
  <c r="L906" i="1" a="1"/>
  <c r="L906" i="1" s="1"/>
  <c r="M906" i="1" s="1"/>
  <c r="L905" i="1" a="1"/>
  <c r="L905" i="1" s="1"/>
  <c r="M905" i="1" s="1"/>
  <c r="L904" i="1"/>
  <c r="M904" i="1" s="1"/>
  <c r="L904" i="1" a="1"/>
  <c r="L903" i="1"/>
  <c r="M903" i="1" s="1"/>
  <c r="L903" i="1" a="1"/>
  <c r="M902" i="1"/>
  <c r="L902" i="1" a="1"/>
  <c r="L902" i="1" s="1"/>
  <c r="M901" i="1"/>
  <c r="L901" i="1" a="1"/>
  <c r="L901" i="1" s="1"/>
  <c r="L900" i="1" a="1"/>
  <c r="L900" i="1" s="1"/>
  <c r="M900" i="1" s="1"/>
  <c r="L899" i="1"/>
  <c r="M899" i="1" s="1"/>
  <c r="L899" i="1" a="1"/>
  <c r="L898" i="1" a="1"/>
  <c r="L898" i="1" s="1"/>
  <c r="M898" i="1" s="1"/>
  <c r="M897" i="1"/>
  <c r="L897" i="1"/>
  <c r="L897" i="1" a="1"/>
  <c r="L896" i="1"/>
  <c r="M896" i="1" s="1"/>
  <c r="L896" i="1" a="1"/>
  <c r="L895" i="1" a="1"/>
  <c r="L895" i="1" s="1"/>
  <c r="M895" i="1" s="1"/>
  <c r="L894" i="1" a="1"/>
  <c r="L894" i="1" s="1"/>
  <c r="M894" i="1" s="1"/>
  <c r="L893" i="1" a="1"/>
  <c r="L893" i="1" s="1"/>
  <c r="M893" i="1" s="1"/>
  <c r="L892" i="1" a="1"/>
  <c r="L892" i="1" s="1"/>
  <c r="M892" i="1" s="1"/>
  <c r="L891" i="1"/>
  <c r="M891" i="1" s="1"/>
  <c r="L891" i="1" a="1"/>
  <c r="M890" i="1"/>
  <c r="L890" i="1" a="1"/>
  <c r="L890" i="1" s="1"/>
  <c r="L889" i="1"/>
  <c r="M889" i="1" s="1"/>
  <c r="L889" i="1" a="1"/>
  <c r="M888" i="1"/>
  <c r="L888" i="1" a="1"/>
  <c r="L888" i="1" s="1"/>
  <c r="L887" i="1" a="1"/>
  <c r="L887" i="1" s="1"/>
  <c r="M887" i="1" s="1"/>
  <c r="L886" i="1" a="1"/>
  <c r="L886" i="1" s="1"/>
  <c r="M886" i="1" s="1"/>
  <c r="M885" i="1"/>
  <c r="L885" i="1"/>
  <c r="L885" i="1" a="1"/>
  <c r="M884" i="1"/>
  <c r="L884" i="1"/>
  <c r="L884" i="1" a="1"/>
  <c r="L883" i="1"/>
  <c r="M883" i="1" s="1"/>
  <c r="L883" i="1" a="1"/>
  <c r="M882" i="1"/>
  <c r="L882" i="1" a="1"/>
  <c r="L882" i="1" s="1"/>
  <c r="L881" i="1" a="1"/>
  <c r="L881" i="1" s="1"/>
  <c r="M881" i="1" s="1"/>
  <c r="M880" i="1"/>
  <c r="L880" i="1"/>
  <c r="L880" i="1" a="1"/>
  <c r="L879" i="1" a="1"/>
  <c r="L879" i="1" s="1"/>
  <c r="M879" i="1" s="1"/>
  <c r="L878" i="1" a="1"/>
  <c r="L878" i="1" s="1"/>
  <c r="M878" i="1" s="1"/>
  <c r="L877" i="1" a="1"/>
  <c r="L877" i="1" s="1"/>
  <c r="M877" i="1" s="1"/>
  <c r="L876" i="1" a="1"/>
  <c r="L876" i="1" s="1"/>
  <c r="M876" i="1" s="1"/>
  <c r="M875" i="1"/>
  <c r="L875" i="1" a="1"/>
  <c r="L875" i="1" s="1"/>
  <c r="L874" i="1" a="1"/>
  <c r="L874" i="1" s="1"/>
  <c r="M874" i="1" s="1"/>
  <c r="L873" i="1" a="1"/>
  <c r="L873" i="1" s="1"/>
  <c r="M873" i="1" s="1"/>
  <c r="L872" i="1" a="1"/>
  <c r="L872" i="1" s="1"/>
  <c r="M872" i="1" s="1"/>
  <c r="M871" i="1"/>
  <c r="L871" i="1"/>
  <c r="L871" i="1" a="1"/>
  <c r="L870" i="1" a="1"/>
  <c r="L870" i="1" s="1"/>
  <c r="M870" i="1" s="1"/>
  <c r="L869" i="1"/>
  <c r="M869" i="1" s="1"/>
  <c r="L869" i="1" a="1"/>
  <c r="M868" i="1"/>
  <c r="L868" i="1"/>
  <c r="L868" i="1" a="1"/>
  <c r="L867" i="1" a="1"/>
  <c r="L867" i="1" s="1"/>
  <c r="M867" i="1" s="1"/>
  <c r="L866" i="1" a="1"/>
  <c r="L866" i="1" s="1"/>
  <c r="M866" i="1" s="1"/>
  <c r="L865" i="1" a="1"/>
  <c r="L865" i="1" s="1"/>
  <c r="M865" i="1" s="1"/>
  <c r="L864" i="1" a="1"/>
  <c r="L864" i="1" s="1"/>
  <c r="M864" i="1" s="1"/>
  <c r="M863" i="1"/>
  <c r="L863" i="1"/>
  <c r="L863" i="1" a="1"/>
  <c r="M862" i="1"/>
  <c r="L862" i="1" a="1"/>
  <c r="L862" i="1" s="1"/>
  <c r="L861" i="1" a="1"/>
  <c r="L861" i="1" s="1"/>
  <c r="M861" i="1" s="1"/>
  <c r="L860" i="1" a="1"/>
  <c r="L860" i="1" s="1"/>
  <c r="M860" i="1" s="1"/>
  <c r="L859" i="1"/>
  <c r="M859" i="1" s="1"/>
  <c r="L859" i="1" a="1"/>
  <c r="L858" i="1" a="1"/>
  <c r="L858" i="1" s="1"/>
  <c r="M858" i="1" s="1"/>
  <c r="L857" i="1" a="1"/>
  <c r="L857" i="1" s="1"/>
  <c r="M857" i="1" s="1"/>
  <c r="L856" i="1"/>
  <c r="M856" i="1" s="1"/>
  <c r="L856" i="1" a="1"/>
  <c r="M855" i="1"/>
  <c r="L855" i="1" a="1"/>
  <c r="L855" i="1" s="1"/>
  <c r="M854" i="1"/>
  <c r="L854" i="1" a="1"/>
  <c r="L854" i="1" s="1"/>
  <c r="M853" i="1"/>
  <c r="L853" i="1" a="1"/>
  <c r="L853" i="1" s="1"/>
  <c r="L852" i="1" a="1"/>
  <c r="L852" i="1" s="1"/>
  <c r="M852" i="1" s="1"/>
  <c r="L851" i="1" a="1"/>
  <c r="L851" i="1" s="1"/>
  <c r="M851" i="1" s="1"/>
  <c r="M850" i="1"/>
  <c r="L850" i="1" a="1"/>
  <c r="L850" i="1" s="1"/>
  <c r="M849" i="1"/>
  <c r="L849" i="1"/>
  <c r="L849" i="1" a="1"/>
  <c r="L848" i="1"/>
  <c r="M848" i="1" s="1"/>
  <c r="L848" i="1" a="1"/>
  <c r="M847" i="1"/>
  <c r="L847" i="1" a="1"/>
  <c r="L847" i="1" s="1"/>
  <c r="L846" i="1" a="1"/>
  <c r="L846" i="1" s="1"/>
  <c r="M846" i="1" s="1"/>
  <c r="L845" i="1" a="1"/>
  <c r="L845" i="1" s="1"/>
  <c r="M845" i="1" s="1"/>
  <c r="L844" i="1" a="1"/>
  <c r="L844" i="1" s="1"/>
  <c r="M844" i="1" s="1"/>
  <c r="L843" i="1"/>
  <c r="M843" i="1" s="1"/>
  <c r="L843" i="1" a="1"/>
  <c r="M842" i="1"/>
  <c r="L842" i="1" a="1"/>
  <c r="L842" i="1" s="1"/>
  <c r="L841" i="1" a="1"/>
  <c r="L841" i="1" s="1"/>
  <c r="M841" i="1" s="1"/>
  <c r="M840" i="1"/>
  <c r="L840" i="1" a="1"/>
  <c r="L840" i="1" s="1"/>
  <c r="L839" i="1" a="1"/>
  <c r="L839" i="1" s="1"/>
  <c r="M839" i="1" s="1"/>
  <c r="L838" i="1" a="1"/>
  <c r="L838" i="1" s="1"/>
  <c r="M838" i="1" s="1"/>
  <c r="L837" i="1" a="1"/>
  <c r="L837" i="1" s="1"/>
  <c r="M837" i="1" s="1"/>
  <c r="M836" i="1"/>
  <c r="L836" i="1"/>
  <c r="L836" i="1" a="1"/>
  <c r="L835" i="1" a="1"/>
  <c r="L835" i="1" s="1"/>
  <c r="M835" i="1" s="1"/>
  <c r="M834" i="1"/>
  <c r="L834" i="1" a="1"/>
  <c r="L834" i="1" s="1"/>
  <c r="L833" i="1" a="1"/>
  <c r="L833" i="1" s="1"/>
  <c r="M833" i="1" s="1"/>
  <c r="L832" i="1" a="1"/>
  <c r="L832" i="1" s="1"/>
  <c r="M832" i="1" s="1"/>
  <c r="L831" i="1" a="1"/>
  <c r="L831" i="1" s="1"/>
  <c r="M831" i="1" s="1"/>
  <c r="L830" i="1" a="1"/>
  <c r="L830" i="1" s="1"/>
  <c r="M830" i="1" s="1"/>
  <c r="L829" i="1"/>
  <c r="M829" i="1" s="1"/>
  <c r="L829" i="1" a="1"/>
  <c r="L828" i="1"/>
  <c r="M828" i="1" s="1"/>
  <c r="L828" i="1" a="1"/>
  <c r="L827" i="1" a="1"/>
  <c r="L827" i="1" s="1"/>
  <c r="M827" i="1" s="1"/>
  <c r="L826" i="1" a="1"/>
  <c r="L826" i="1" s="1"/>
  <c r="M826" i="1" s="1"/>
  <c r="L825" i="1" a="1"/>
  <c r="L825" i="1" s="1"/>
  <c r="M825" i="1" s="1"/>
  <c r="L824" i="1"/>
  <c r="M824" i="1" s="1"/>
  <c r="L824" i="1" a="1"/>
  <c r="L823" i="1"/>
  <c r="M823" i="1" s="1"/>
  <c r="L823" i="1" a="1"/>
  <c r="L822" i="1" a="1"/>
  <c r="L822" i="1" s="1"/>
  <c r="M822" i="1" s="1"/>
  <c r="L821" i="1"/>
  <c r="M821" i="1" s="1"/>
  <c r="L821" i="1" a="1"/>
  <c r="M820" i="1"/>
  <c r="L820" i="1" a="1"/>
  <c r="L820" i="1" s="1"/>
  <c r="L819" i="1"/>
  <c r="M819" i="1" s="1"/>
  <c r="L819" i="1" a="1"/>
  <c r="L818" i="1" a="1"/>
  <c r="L818" i="1" s="1"/>
  <c r="M818" i="1" s="1"/>
  <c r="L817" i="1" a="1"/>
  <c r="L817" i="1" s="1"/>
  <c r="M817" i="1" s="1"/>
  <c r="L816" i="1" a="1"/>
  <c r="L816" i="1" s="1"/>
  <c r="M816" i="1" s="1"/>
  <c r="M815" i="1"/>
  <c r="L815" i="1"/>
  <c r="L815" i="1" a="1"/>
  <c r="M814" i="1"/>
  <c r="L814" i="1" a="1"/>
  <c r="L814" i="1" s="1"/>
  <c r="L813" i="1" a="1"/>
  <c r="L813" i="1" s="1"/>
  <c r="M813" i="1" s="1"/>
  <c r="L812" i="1" a="1"/>
  <c r="L812" i="1" s="1"/>
  <c r="M812" i="1" s="1"/>
  <c r="L811" i="1" a="1"/>
  <c r="L811" i="1" s="1"/>
  <c r="M811" i="1" s="1"/>
  <c r="M810" i="1"/>
  <c r="L810" i="1" a="1"/>
  <c r="L810" i="1" s="1"/>
  <c r="L809" i="1" a="1"/>
  <c r="L809" i="1" s="1"/>
  <c r="M809" i="1" s="1"/>
  <c r="L808" i="1"/>
  <c r="M808" i="1" s="1"/>
  <c r="L808" i="1" a="1"/>
  <c r="L807" i="1" a="1"/>
  <c r="L807" i="1" s="1"/>
  <c r="M807" i="1" s="1"/>
  <c r="M806" i="1"/>
  <c r="L806" i="1" a="1"/>
  <c r="L806" i="1" s="1"/>
  <c r="L805" i="1" a="1"/>
  <c r="L805" i="1" s="1"/>
  <c r="M805" i="1" s="1"/>
  <c r="L804" i="1" a="1"/>
  <c r="L804" i="1" s="1"/>
  <c r="M804" i="1" s="1"/>
  <c r="L803" i="1" a="1"/>
  <c r="L803" i="1" s="1"/>
  <c r="M803" i="1" s="1"/>
  <c r="M802" i="1"/>
  <c r="L802" i="1" a="1"/>
  <c r="L802" i="1" s="1"/>
  <c r="M801" i="1"/>
  <c r="L801" i="1"/>
  <c r="L801" i="1" a="1"/>
  <c r="L800" i="1"/>
  <c r="M800" i="1" s="1"/>
  <c r="L800" i="1" a="1"/>
  <c r="L799" i="1" a="1"/>
  <c r="L799" i="1" s="1"/>
  <c r="M799" i="1" s="1"/>
  <c r="L798" i="1" a="1"/>
  <c r="L798" i="1" s="1"/>
  <c r="M798" i="1" s="1"/>
  <c r="L797" i="1"/>
  <c r="M797" i="1" s="1"/>
  <c r="L797" i="1" a="1"/>
  <c r="L796" i="1" a="1"/>
  <c r="L796" i="1" s="1"/>
  <c r="M796" i="1" s="1"/>
  <c r="L795" i="1"/>
  <c r="M795" i="1" s="1"/>
  <c r="L795" i="1" a="1"/>
  <c r="M794" i="1"/>
  <c r="L794" i="1" a="1"/>
  <c r="L794" i="1" s="1"/>
  <c r="L793" i="1"/>
  <c r="M793" i="1" s="1"/>
  <c r="L793" i="1" a="1"/>
  <c r="L792" i="1" a="1"/>
  <c r="L792" i="1" s="1"/>
  <c r="M792" i="1" s="1"/>
  <c r="L791" i="1" a="1"/>
  <c r="L791" i="1" s="1"/>
  <c r="M791" i="1" s="1"/>
  <c r="L790" i="1" a="1"/>
  <c r="L790" i="1" s="1"/>
  <c r="M790" i="1" s="1"/>
  <c r="L789" i="1" a="1"/>
  <c r="L789" i="1" s="1"/>
  <c r="M789" i="1" s="1"/>
  <c r="M788" i="1"/>
  <c r="L788" i="1"/>
  <c r="L788" i="1" a="1"/>
  <c r="L787" i="1"/>
  <c r="M787" i="1" s="1"/>
  <c r="L787" i="1" a="1"/>
  <c r="M786" i="1"/>
  <c r="L786" i="1" a="1"/>
  <c r="L786" i="1" s="1"/>
  <c r="L785" i="1" a="1"/>
  <c r="L785" i="1" s="1"/>
  <c r="M785" i="1" s="1"/>
  <c r="L784" i="1"/>
  <c r="M784" i="1" s="1"/>
  <c r="L784" i="1" a="1"/>
  <c r="L783" i="1" a="1"/>
  <c r="L783" i="1" s="1"/>
  <c r="M783" i="1" s="1"/>
  <c r="L782" i="1" a="1"/>
  <c r="L782" i="1" s="1"/>
  <c r="M782" i="1" s="1"/>
  <c r="L781" i="1" a="1"/>
  <c r="L781" i="1" s="1"/>
  <c r="M781" i="1" s="1"/>
  <c r="M780" i="1"/>
  <c r="L780" i="1"/>
  <c r="L780" i="1" a="1"/>
  <c r="L779" i="1" a="1"/>
  <c r="L779" i="1" s="1"/>
  <c r="M779" i="1" s="1"/>
  <c r="L778" i="1" a="1"/>
  <c r="L778" i="1" s="1"/>
  <c r="M778" i="1" s="1"/>
  <c r="L777" i="1" a="1"/>
  <c r="L777" i="1" s="1"/>
  <c r="M777" i="1" s="1"/>
  <c r="L776" i="1" a="1"/>
  <c r="L776" i="1" s="1"/>
  <c r="M776" i="1" s="1"/>
  <c r="L775" i="1"/>
  <c r="M775" i="1" s="1"/>
  <c r="L775" i="1" a="1"/>
  <c r="L774" i="1" a="1"/>
  <c r="L774" i="1" s="1"/>
  <c r="M774" i="1" s="1"/>
  <c r="L773" i="1"/>
  <c r="M773" i="1" s="1"/>
  <c r="L773" i="1" a="1"/>
  <c r="L772" i="1" a="1"/>
  <c r="L772" i="1" s="1"/>
  <c r="M772" i="1" s="1"/>
  <c r="L771" i="1" a="1"/>
  <c r="L771" i="1" s="1"/>
  <c r="M771" i="1" s="1"/>
  <c r="L770" i="1" a="1"/>
  <c r="L770" i="1" s="1"/>
  <c r="M770" i="1" s="1"/>
  <c r="L769" i="1" a="1"/>
  <c r="L769" i="1" s="1"/>
  <c r="M769" i="1" s="1"/>
  <c r="L768" i="1" a="1"/>
  <c r="L768" i="1" s="1"/>
  <c r="M768" i="1" s="1"/>
  <c r="L767" i="1"/>
  <c r="M767" i="1" s="1"/>
  <c r="L767" i="1" a="1"/>
  <c r="M766" i="1"/>
  <c r="L766" i="1" a="1"/>
  <c r="L766" i="1" s="1"/>
  <c r="L765" i="1" a="1"/>
  <c r="L765" i="1" s="1"/>
  <c r="M765" i="1" s="1"/>
  <c r="L764" i="1" a="1"/>
  <c r="L764" i="1" s="1"/>
  <c r="M764" i="1" s="1"/>
  <c r="M763" i="1"/>
  <c r="L763" i="1"/>
  <c r="L763" i="1" a="1"/>
  <c r="M762" i="1"/>
  <c r="L762" i="1" a="1"/>
  <c r="L762" i="1" s="1"/>
  <c r="L761" i="1" a="1"/>
  <c r="L761" i="1" s="1"/>
  <c r="M761" i="1" s="1"/>
  <c r="L760" i="1"/>
  <c r="M760" i="1" s="1"/>
  <c r="L760" i="1" a="1"/>
  <c r="L759" i="1" a="1"/>
  <c r="L759" i="1" s="1"/>
  <c r="M759" i="1" s="1"/>
  <c r="L758" i="1" a="1"/>
  <c r="L758" i="1" s="1"/>
  <c r="M758" i="1" s="1"/>
  <c r="M757" i="1"/>
  <c r="L757" i="1" a="1"/>
  <c r="L757" i="1" s="1"/>
  <c r="L756" i="1" a="1"/>
  <c r="L756" i="1" s="1"/>
  <c r="M756" i="1" s="1"/>
  <c r="L755" i="1" a="1"/>
  <c r="L755" i="1" s="1"/>
  <c r="M755" i="1" s="1"/>
  <c r="L754" i="1" a="1"/>
  <c r="L754" i="1" s="1"/>
  <c r="M754" i="1" s="1"/>
  <c r="M753" i="1"/>
  <c r="L753" i="1"/>
  <c r="L753" i="1" a="1"/>
  <c r="L752" i="1" a="1"/>
  <c r="L752" i="1" s="1"/>
  <c r="M752" i="1" s="1"/>
  <c r="L751" i="1" a="1"/>
  <c r="L751" i="1" s="1"/>
  <c r="M751" i="1" s="1"/>
  <c r="M750" i="1"/>
  <c r="L750" i="1" a="1"/>
  <c r="L750" i="1" s="1"/>
  <c r="L749" i="1"/>
  <c r="M749" i="1" s="1"/>
  <c r="L749" i="1" a="1"/>
  <c r="L748" i="1" a="1"/>
  <c r="L748" i="1" s="1"/>
  <c r="M748" i="1" s="1"/>
  <c r="L747" i="1"/>
  <c r="M747" i="1" s="1"/>
  <c r="L747" i="1" a="1"/>
  <c r="L746" i="1" a="1"/>
  <c r="L746" i="1" s="1"/>
  <c r="M746" i="1" s="1"/>
  <c r="L745" i="1" a="1"/>
  <c r="L745" i="1" s="1"/>
  <c r="M745" i="1" s="1"/>
  <c r="M744" i="1"/>
  <c r="L744" i="1" a="1"/>
  <c r="L744" i="1" s="1"/>
  <c r="L743" i="1" a="1"/>
  <c r="L743" i="1" s="1"/>
  <c r="M743" i="1" s="1"/>
  <c r="L742" i="1" a="1"/>
  <c r="L742" i="1" s="1"/>
  <c r="M742" i="1" s="1"/>
  <c r="L741" i="1"/>
  <c r="M741" i="1" s="1"/>
  <c r="L741" i="1" a="1"/>
  <c r="L740" i="1"/>
  <c r="M740" i="1" s="1"/>
  <c r="L740" i="1" a="1"/>
  <c r="L739" i="1" a="1"/>
  <c r="L739" i="1" s="1"/>
  <c r="M739" i="1" s="1"/>
  <c r="M738" i="1"/>
  <c r="L738" i="1" a="1"/>
  <c r="L738" i="1" s="1"/>
  <c r="L737" i="1"/>
  <c r="M737" i="1" s="1"/>
  <c r="L737" i="1" a="1"/>
  <c r="L736" i="1"/>
  <c r="M736" i="1" s="1"/>
  <c r="L736" i="1" a="1"/>
  <c r="L735" i="1" a="1"/>
  <c r="L735" i="1" s="1"/>
  <c r="M735" i="1" s="1"/>
  <c r="L734" i="1" a="1"/>
  <c r="L734" i="1" s="1"/>
  <c r="M734" i="1" s="1"/>
  <c r="L733" i="1"/>
  <c r="M733" i="1" s="1"/>
  <c r="L733" i="1" a="1"/>
  <c r="L732" i="1"/>
  <c r="M732" i="1" s="1"/>
  <c r="L732" i="1" a="1"/>
  <c r="M731" i="1"/>
  <c r="L731" i="1" a="1"/>
  <c r="L731" i="1" s="1"/>
  <c r="L730" i="1" a="1"/>
  <c r="L730" i="1" s="1"/>
  <c r="M730" i="1" s="1"/>
  <c r="L729" i="1" a="1"/>
  <c r="L729" i="1" s="1"/>
  <c r="M729" i="1" s="1"/>
  <c r="L728" i="1" a="1"/>
  <c r="L728" i="1" s="1"/>
  <c r="M728" i="1" s="1"/>
  <c r="M727" i="1"/>
  <c r="L727" i="1"/>
  <c r="L727" i="1" a="1"/>
  <c r="L726" i="1" a="1"/>
  <c r="L726" i="1" s="1"/>
  <c r="M726" i="1" s="1"/>
  <c r="L725" i="1"/>
  <c r="M725" i="1" s="1"/>
  <c r="L725" i="1" a="1"/>
  <c r="L724" i="1" a="1"/>
  <c r="L724" i="1" s="1"/>
  <c r="M724" i="1" s="1"/>
  <c r="M723" i="1"/>
  <c r="L723" i="1"/>
  <c r="L723" i="1" a="1"/>
  <c r="L722" i="1" a="1"/>
  <c r="L722" i="1" s="1"/>
  <c r="M722" i="1" s="1"/>
  <c r="L721" i="1" a="1"/>
  <c r="L721" i="1" s="1"/>
  <c r="M721" i="1" s="1"/>
  <c r="L720" i="1"/>
  <c r="M720" i="1" s="1"/>
  <c r="L720" i="1" a="1"/>
  <c r="L719" i="1"/>
  <c r="M719" i="1" s="1"/>
  <c r="L719" i="1" a="1"/>
  <c r="M718" i="1"/>
  <c r="L718" i="1" a="1"/>
  <c r="L718" i="1" s="1"/>
  <c r="L717" i="1" a="1"/>
  <c r="L717" i="1" s="1"/>
  <c r="M717" i="1" s="1"/>
  <c r="L716" i="1" a="1"/>
  <c r="L716" i="1" s="1"/>
  <c r="M716" i="1" s="1"/>
  <c r="L715" i="1" a="1"/>
  <c r="L715" i="1" s="1"/>
  <c r="M715" i="1" s="1"/>
  <c r="M714" i="1"/>
  <c r="L714" i="1" a="1"/>
  <c r="L714" i="1" s="1"/>
  <c r="L713" i="1" a="1"/>
  <c r="L713" i="1" s="1"/>
  <c r="M713" i="1" s="1"/>
  <c r="M712" i="1"/>
  <c r="L712" i="1"/>
  <c r="L712" i="1" a="1"/>
  <c r="L711" i="1"/>
  <c r="M711" i="1" s="1"/>
  <c r="L711" i="1" a="1"/>
  <c r="L710" i="1" a="1"/>
  <c r="L710" i="1" s="1"/>
  <c r="M710" i="1" s="1"/>
  <c r="M709" i="1"/>
  <c r="L709" i="1" a="1"/>
  <c r="L709" i="1" s="1"/>
  <c r="M708" i="1"/>
  <c r="L708" i="1"/>
  <c r="L708" i="1" a="1"/>
  <c r="L707" i="1" a="1"/>
  <c r="L707" i="1" s="1"/>
  <c r="M707" i="1" s="1"/>
  <c r="L706" i="1" a="1"/>
  <c r="L706" i="1" s="1"/>
  <c r="M706" i="1" s="1"/>
  <c r="M705" i="1"/>
  <c r="L705" i="1"/>
  <c r="L705" i="1" a="1"/>
  <c r="L704" i="1"/>
  <c r="M704" i="1" s="1"/>
  <c r="L704" i="1" a="1"/>
  <c r="L703" i="1" a="1"/>
  <c r="L703" i="1" s="1"/>
  <c r="M703" i="1" s="1"/>
  <c r="L702" i="1" a="1"/>
  <c r="L702" i="1" s="1"/>
  <c r="M702" i="1" s="1"/>
  <c r="L701" i="1"/>
  <c r="M701" i="1" s="1"/>
  <c r="L701" i="1" a="1"/>
  <c r="L700" i="1" a="1"/>
  <c r="L700" i="1" s="1"/>
  <c r="M700" i="1" s="1"/>
  <c r="M699" i="1"/>
  <c r="L699" i="1"/>
  <c r="L699" i="1" a="1"/>
  <c r="L698" i="1" a="1"/>
  <c r="L698" i="1" s="1"/>
  <c r="M698" i="1" s="1"/>
  <c r="L697" i="1"/>
  <c r="M697" i="1" s="1"/>
  <c r="L697" i="1" a="1"/>
  <c r="M696" i="1"/>
  <c r="L696" i="1" a="1"/>
  <c r="L696" i="1" s="1"/>
  <c r="L695" i="1" a="1"/>
  <c r="L695" i="1" s="1"/>
  <c r="M695" i="1" s="1"/>
  <c r="L694" i="1" a="1"/>
  <c r="L694" i="1" s="1"/>
  <c r="M694" i="1" s="1"/>
  <c r="M693" i="1"/>
  <c r="L693" i="1"/>
  <c r="L693" i="1" a="1"/>
  <c r="L692" i="1"/>
  <c r="M692" i="1" s="1"/>
  <c r="L692" i="1" a="1"/>
  <c r="M691" i="1"/>
  <c r="L691" i="1"/>
  <c r="L691" i="1" a="1"/>
  <c r="L690" i="1" a="1"/>
  <c r="L690" i="1" s="1"/>
  <c r="M690" i="1" s="1"/>
  <c r="L689" i="1" a="1"/>
  <c r="L689" i="1" s="1"/>
  <c r="M689" i="1" s="1"/>
  <c r="M688" i="1"/>
  <c r="L688" i="1" a="1"/>
  <c r="L688" i="1" s="1"/>
  <c r="L687" i="1" a="1"/>
  <c r="L687" i="1" s="1"/>
  <c r="M687" i="1" s="1"/>
  <c r="M686" i="1"/>
  <c r="L686" i="1" a="1"/>
  <c r="L686" i="1" s="1"/>
  <c r="L685" i="1"/>
  <c r="M685" i="1" s="1"/>
  <c r="L685" i="1" a="1"/>
  <c r="L684" i="1"/>
  <c r="M684" i="1" s="1"/>
  <c r="L684" i="1" a="1"/>
  <c r="L683" i="1" a="1"/>
  <c r="L683" i="1" s="1"/>
  <c r="M683" i="1" s="1"/>
  <c r="L682" i="1" a="1"/>
  <c r="L682" i="1" s="1"/>
  <c r="M682" i="1" s="1"/>
  <c r="L681" i="1" a="1"/>
  <c r="L681" i="1" s="1"/>
  <c r="M681" i="1" s="1"/>
  <c r="L680" i="1" a="1"/>
  <c r="L680" i="1" s="1"/>
  <c r="M680" i="1" s="1"/>
  <c r="L679" i="1"/>
  <c r="M679" i="1" s="1"/>
  <c r="L679" i="1" a="1"/>
  <c r="M678" i="1"/>
  <c r="L678" i="1" a="1"/>
  <c r="L678" i="1" s="1"/>
  <c r="M677" i="1"/>
  <c r="L677" i="1"/>
  <c r="L677" i="1" a="1"/>
  <c r="L676" i="1"/>
  <c r="M676" i="1" s="1"/>
  <c r="L676" i="1" a="1"/>
  <c r="L675" i="1" a="1"/>
  <c r="L675" i="1" s="1"/>
  <c r="M675" i="1" s="1"/>
  <c r="L674" i="1" a="1"/>
  <c r="L674" i="1" s="1"/>
  <c r="M674" i="1" s="1"/>
  <c r="L673" i="1" a="1"/>
  <c r="L673" i="1" s="1"/>
  <c r="M673" i="1" s="1"/>
  <c r="L672" i="1" a="1"/>
  <c r="L672" i="1" s="1"/>
  <c r="M672" i="1" s="1"/>
  <c r="M671" i="1"/>
  <c r="L671" i="1"/>
  <c r="L671" i="1" a="1"/>
  <c r="M670" i="1"/>
  <c r="L670" i="1" a="1"/>
  <c r="L670" i="1" s="1"/>
  <c r="L669" i="1" a="1"/>
  <c r="L669" i="1" s="1"/>
  <c r="M669" i="1" s="1"/>
  <c r="M668" i="1"/>
  <c r="L668" i="1"/>
  <c r="L668" i="1" a="1"/>
  <c r="L667" i="1"/>
  <c r="M667" i="1" s="1"/>
  <c r="L667" i="1" a="1"/>
  <c r="L666" i="1" a="1"/>
  <c r="L666" i="1" s="1"/>
  <c r="M666" i="1" s="1"/>
  <c r="L665" i="1"/>
  <c r="M665" i="1" s="1"/>
  <c r="L665" i="1" a="1"/>
  <c r="L664" i="1" a="1"/>
  <c r="L664" i="1" s="1"/>
  <c r="M664" i="1" s="1"/>
  <c r="L663" i="1" a="1"/>
  <c r="L663" i="1" s="1"/>
  <c r="M663" i="1" s="1"/>
  <c r="L662" i="1" a="1"/>
  <c r="L662" i="1" s="1"/>
  <c r="M662" i="1" s="1"/>
  <c r="L661" i="1" a="1"/>
  <c r="L661" i="1" s="1"/>
  <c r="M661" i="1" s="1"/>
  <c r="L660" i="1" a="1"/>
  <c r="L660" i="1" s="1"/>
  <c r="M660" i="1" s="1"/>
  <c r="M659" i="1"/>
  <c r="L659" i="1"/>
  <c r="L659" i="1" a="1"/>
  <c r="L658" i="1" a="1"/>
  <c r="L658" i="1" s="1"/>
  <c r="M658" i="1" s="1"/>
  <c r="L657" i="1"/>
  <c r="M657" i="1" s="1"/>
  <c r="L657" i="1" a="1"/>
  <c r="L656" i="1" a="1"/>
  <c r="L656" i="1" s="1"/>
  <c r="M656" i="1" s="1"/>
  <c r="L655" i="1"/>
  <c r="M655" i="1" s="1"/>
  <c r="L655" i="1" a="1"/>
  <c r="L654" i="1" a="1"/>
  <c r="L654" i="1" s="1"/>
  <c r="M654" i="1" s="1"/>
  <c r="L653" i="1" a="1"/>
  <c r="L653" i="1" s="1"/>
  <c r="M653" i="1" s="1"/>
  <c r="M652" i="1"/>
  <c r="L652" i="1"/>
  <c r="L652" i="1" a="1"/>
  <c r="L651" i="1" a="1"/>
  <c r="L651" i="1" s="1"/>
  <c r="M651" i="1" s="1"/>
  <c r="L650" i="1" a="1"/>
  <c r="L650" i="1" s="1"/>
  <c r="M650" i="1" s="1"/>
  <c r="L649" i="1" a="1"/>
  <c r="L649" i="1" s="1"/>
  <c r="M649" i="1" s="1"/>
  <c r="L648" i="1"/>
  <c r="M648" i="1" s="1"/>
  <c r="L648" i="1" a="1"/>
  <c r="L647" i="1" a="1"/>
  <c r="L647" i="1" s="1"/>
  <c r="M647" i="1" s="1"/>
  <c r="M646" i="1"/>
  <c r="L646" i="1"/>
  <c r="L646" i="1" a="1"/>
  <c r="L645" i="1" a="1"/>
  <c r="L645" i="1" s="1"/>
  <c r="M645" i="1" s="1"/>
  <c r="M644" i="1"/>
  <c r="L644" i="1"/>
  <c r="L644" i="1" a="1"/>
  <c r="L643" i="1" a="1"/>
  <c r="L643" i="1" s="1"/>
  <c r="M643" i="1" s="1"/>
  <c r="L642" i="1"/>
  <c r="M642" i="1" s="1"/>
  <c r="L642" i="1" a="1"/>
  <c r="L641" i="1" a="1"/>
  <c r="L641" i="1" s="1"/>
  <c r="M641" i="1" s="1"/>
  <c r="L640" i="1" a="1"/>
  <c r="L640" i="1" s="1"/>
  <c r="M640" i="1" s="1"/>
  <c r="L639" i="1"/>
  <c r="M639" i="1" s="1"/>
  <c r="L639" i="1" a="1"/>
  <c r="L638" i="1" a="1"/>
  <c r="L638" i="1" s="1"/>
  <c r="M638" i="1" s="1"/>
  <c r="L637" i="1"/>
  <c r="M637" i="1" s="1"/>
  <c r="L637" i="1" a="1"/>
  <c r="L636" i="1"/>
  <c r="M636" i="1" s="1"/>
  <c r="L636" i="1" a="1"/>
  <c r="L635" i="1"/>
  <c r="M635" i="1" s="1"/>
  <c r="L635" i="1" a="1"/>
  <c r="L634" i="1" a="1"/>
  <c r="L634" i="1" s="1"/>
  <c r="M634" i="1" s="1"/>
  <c r="L633" i="1"/>
  <c r="M633" i="1" s="1"/>
  <c r="L633" i="1" a="1"/>
  <c r="L632" i="1" a="1"/>
  <c r="L632" i="1" s="1"/>
  <c r="M632" i="1" s="1"/>
  <c r="L631" i="1" a="1"/>
  <c r="L631" i="1" s="1"/>
  <c r="M631" i="1" s="1"/>
  <c r="M630" i="1"/>
  <c r="L630" i="1" a="1"/>
  <c r="L630" i="1" s="1"/>
  <c r="L629" i="1" a="1"/>
  <c r="L629" i="1" s="1"/>
  <c r="M629" i="1" s="1"/>
  <c r="L628" i="1" a="1"/>
  <c r="L628" i="1" s="1"/>
  <c r="M628" i="1" s="1"/>
  <c r="L627" i="1" a="1"/>
  <c r="L627" i="1" s="1"/>
  <c r="M627" i="1" s="1"/>
  <c r="L626" i="1"/>
  <c r="M626" i="1" s="1"/>
  <c r="L626" i="1" a="1"/>
  <c r="L625" i="1" a="1"/>
  <c r="L625" i="1" s="1"/>
  <c r="M625" i="1" s="1"/>
  <c r="M624" i="1"/>
  <c r="L624" i="1"/>
  <c r="L624" i="1" a="1"/>
  <c r="L623" i="1" a="1"/>
  <c r="L623" i="1" s="1"/>
  <c r="M623" i="1" s="1"/>
  <c r="L622" i="1" a="1"/>
  <c r="L622" i="1" s="1"/>
  <c r="M622" i="1" s="1"/>
  <c r="L621" i="1" a="1"/>
  <c r="L621" i="1" s="1"/>
  <c r="M621" i="1" s="1"/>
  <c r="L620" i="1"/>
  <c r="M620" i="1" s="1"/>
  <c r="L620" i="1" a="1"/>
  <c r="L619" i="1" a="1"/>
  <c r="L619" i="1" s="1"/>
  <c r="M619" i="1" s="1"/>
  <c r="L618" i="1"/>
  <c r="M618" i="1" s="1"/>
  <c r="L618" i="1" a="1"/>
  <c r="L617" i="1"/>
  <c r="M617" i="1" s="1"/>
  <c r="L617" i="1" a="1"/>
  <c r="L616" i="1" a="1"/>
  <c r="L616" i="1" s="1"/>
  <c r="M616" i="1" s="1"/>
  <c r="L615" i="1" a="1"/>
  <c r="L615" i="1" s="1"/>
  <c r="M615" i="1" s="1"/>
  <c r="L614" i="1" a="1"/>
  <c r="L614" i="1" s="1"/>
  <c r="M614" i="1" s="1"/>
  <c r="L613" i="1" a="1"/>
  <c r="L613" i="1" s="1"/>
  <c r="M613" i="1" s="1"/>
  <c r="L612" i="1" a="1"/>
  <c r="L612" i="1" s="1"/>
  <c r="M612" i="1" s="1"/>
  <c r="M611" i="1"/>
  <c r="L611" i="1"/>
  <c r="L611" i="1" a="1"/>
  <c r="L610" i="1"/>
  <c r="M610" i="1" s="1"/>
  <c r="L610" i="1" a="1"/>
  <c r="L609" i="1" a="1"/>
  <c r="L609" i="1" s="1"/>
  <c r="M609" i="1" s="1"/>
  <c r="L608" i="1" a="1"/>
  <c r="L608" i="1" s="1"/>
  <c r="M608" i="1" s="1"/>
  <c r="L607" i="1"/>
  <c r="M607" i="1" s="1"/>
  <c r="L607" i="1" a="1"/>
  <c r="L606" i="1" a="1"/>
  <c r="L606" i="1" s="1"/>
  <c r="M606" i="1" s="1"/>
  <c r="L605" i="1"/>
  <c r="M605" i="1" s="1"/>
  <c r="L605" i="1" a="1"/>
  <c r="L604" i="1"/>
  <c r="M604" i="1" s="1"/>
  <c r="L604" i="1" a="1"/>
  <c r="L603" i="1" a="1"/>
  <c r="L603" i="1" s="1"/>
  <c r="M603" i="1" s="1"/>
  <c r="L602" i="1" a="1"/>
  <c r="L602" i="1" s="1"/>
  <c r="M602" i="1" s="1"/>
  <c r="L601" i="1" a="1"/>
  <c r="L601" i="1" s="1"/>
  <c r="M601" i="1" s="1"/>
  <c r="L600" i="1" a="1"/>
  <c r="L600" i="1" s="1"/>
  <c r="M600" i="1" s="1"/>
  <c r="L599" i="1" a="1"/>
  <c r="L599" i="1" s="1"/>
  <c r="M599" i="1" s="1"/>
  <c r="M598" i="1"/>
  <c r="L598" i="1"/>
  <c r="L598" i="1" a="1"/>
  <c r="L597" i="1" a="1"/>
  <c r="L597" i="1" s="1"/>
  <c r="M597" i="1" s="1"/>
  <c r="L596" i="1"/>
  <c r="M596" i="1" s="1"/>
  <c r="L596" i="1" a="1"/>
  <c r="M595" i="1"/>
  <c r="L595" i="1" a="1"/>
  <c r="L595" i="1" s="1"/>
  <c r="L594" i="1"/>
  <c r="M594" i="1" s="1"/>
  <c r="L594" i="1" a="1"/>
  <c r="L593" i="1" a="1"/>
  <c r="L593" i="1" s="1"/>
  <c r="M593" i="1" s="1"/>
  <c r="L592" i="1"/>
  <c r="M592" i="1" s="1"/>
  <c r="L592" i="1" a="1"/>
  <c r="L591" i="1"/>
  <c r="M591" i="1" s="1"/>
  <c r="L591" i="1" a="1"/>
  <c r="L590" i="1"/>
  <c r="M590" i="1" s="1"/>
  <c r="L590" i="1" a="1"/>
  <c r="L589" i="1"/>
  <c r="M589" i="1" s="1"/>
  <c r="L589" i="1" a="1"/>
  <c r="L588" i="1"/>
  <c r="M588" i="1" s="1"/>
  <c r="L588" i="1" a="1"/>
  <c r="L587" i="1"/>
  <c r="M587" i="1" s="1"/>
  <c r="L587" i="1" a="1"/>
  <c r="L586" i="1" a="1"/>
  <c r="L586" i="1" s="1"/>
  <c r="M586" i="1" s="1"/>
  <c r="L585" i="1"/>
  <c r="M585" i="1" s="1"/>
  <c r="L585" i="1" a="1"/>
  <c r="L584" i="1" a="1"/>
  <c r="L584" i="1" s="1"/>
  <c r="M584" i="1" s="1"/>
  <c r="L583" i="1" a="1"/>
  <c r="L583" i="1" s="1"/>
  <c r="M583" i="1" s="1"/>
  <c r="M582" i="1"/>
  <c r="L582" i="1" a="1"/>
  <c r="L582" i="1" s="1"/>
  <c r="L581" i="1" a="1"/>
  <c r="L581" i="1" s="1"/>
  <c r="M581" i="1" s="1"/>
  <c r="M580" i="1"/>
  <c r="L580" i="1" a="1"/>
  <c r="L580" i="1" s="1"/>
  <c r="L579" i="1" a="1"/>
  <c r="L579" i="1" s="1"/>
  <c r="M579" i="1" s="1"/>
  <c r="L578" i="1"/>
  <c r="M578" i="1" s="1"/>
  <c r="L578" i="1" a="1"/>
  <c r="L577" i="1" a="1"/>
  <c r="L577" i="1" s="1"/>
  <c r="M577" i="1" s="1"/>
  <c r="L576" i="1"/>
  <c r="M576" i="1" s="1"/>
  <c r="L576" i="1" a="1"/>
  <c r="L575" i="1" a="1"/>
  <c r="L575" i="1" s="1"/>
  <c r="M575" i="1" s="1"/>
  <c r="L574" i="1"/>
  <c r="M574" i="1" s="1"/>
  <c r="L574" i="1" a="1"/>
  <c r="L573" i="1" a="1"/>
  <c r="L573" i="1" s="1"/>
  <c r="M573" i="1" s="1"/>
  <c r="L572" i="1" a="1"/>
  <c r="L572" i="1" s="1"/>
  <c r="M572" i="1" s="1"/>
  <c r="L571" i="1" a="1"/>
  <c r="L571" i="1" s="1"/>
  <c r="M571" i="1" s="1"/>
  <c r="M570" i="1"/>
  <c r="L570" i="1"/>
  <c r="L570" i="1" a="1"/>
  <c r="L569" i="1"/>
  <c r="M569" i="1" s="1"/>
  <c r="L569" i="1" a="1"/>
  <c r="L568" i="1" a="1"/>
  <c r="L568" i="1" s="1"/>
  <c r="M568" i="1" s="1"/>
  <c r="L567" i="1" a="1"/>
  <c r="L567" i="1" s="1"/>
  <c r="M567" i="1" s="1"/>
  <c r="L566" i="1" a="1"/>
  <c r="L566" i="1" s="1"/>
  <c r="M566" i="1" s="1"/>
  <c r="L565" i="1"/>
  <c r="M565" i="1" s="1"/>
  <c r="L565" i="1" a="1"/>
  <c r="L564" i="1"/>
  <c r="M564" i="1" s="1"/>
  <c r="L564" i="1" a="1"/>
  <c r="M563" i="1"/>
  <c r="L563" i="1"/>
  <c r="L563" i="1" a="1"/>
  <c r="L562" i="1"/>
  <c r="M562" i="1" s="1"/>
  <c r="L562" i="1" a="1"/>
  <c r="L561" i="1" a="1"/>
  <c r="L561" i="1" s="1"/>
  <c r="M561" i="1" s="1"/>
  <c r="M560" i="1"/>
  <c r="L560" i="1" a="1"/>
  <c r="L560" i="1" s="1"/>
  <c r="L559" i="1" a="1"/>
  <c r="L559" i="1" s="1"/>
  <c r="M559" i="1" s="1"/>
  <c r="L558" i="1" a="1"/>
  <c r="L558" i="1" s="1"/>
  <c r="M558" i="1" s="1"/>
  <c r="L557" i="1" a="1"/>
  <c r="L557" i="1" s="1"/>
  <c r="M557" i="1" s="1"/>
  <c r="M556" i="1"/>
  <c r="L556" i="1"/>
  <c r="L556" i="1" a="1"/>
  <c r="L555" i="1" a="1"/>
  <c r="L555" i="1" s="1"/>
  <c r="M555" i="1" s="1"/>
  <c r="L554" i="1" a="1"/>
  <c r="L554" i="1" s="1"/>
  <c r="M554" i="1" s="1"/>
  <c r="L553" i="1" a="1"/>
  <c r="L553" i="1" s="1"/>
  <c r="M553" i="1" s="1"/>
  <c r="L552" i="1" a="1"/>
  <c r="L552" i="1" s="1"/>
  <c r="M552" i="1" s="1"/>
  <c r="L551" i="1" a="1"/>
  <c r="L551" i="1" s="1"/>
  <c r="M551" i="1" s="1"/>
  <c r="M550" i="1"/>
  <c r="L550" i="1"/>
  <c r="L550" i="1" a="1"/>
  <c r="L549" i="1" a="1"/>
  <c r="L549" i="1" s="1"/>
  <c r="M549" i="1" s="1"/>
  <c r="L548" i="1" a="1"/>
  <c r="L548" i="1" s="1"/>
  <c r="M548" i="1" s="1"/>
  <c r="L547" i="1" a="1"/>
  <c r="L547" i="1" s="1"/>
  <c r="M547" i="1" s="1"/>
  <c r="L546" i="1"/>
  <c r="M546" i="1" s="1"/>
  <c r="L546" i="1" a="1"/>
  <c r="L545" i="1" a="1"/>
  <c r="L545" i="1" s="1"/>
  <c r="M545" i="1" s="1"/>
  <c r="L544" i="1" a="1"/>
  <c r="L544" i="1" s="1"/>
  <c r="M544" i="1" s="1"/>
  <c r="L543" i="1"/>
  <c r="M543" i="1" s="1"/>
  <c r="L543" i="1" a="1"/>
  <c r="M542" i="1"/>
  <c r="L542" i="1"/>
  <c r="L542" i="1" a="1"/>
  <c r="L541" i="1"/>
  <c r="M541" i="1" s="1"/>
  <c r="L541" i="1" a="1"/>
  <c r="M540" i="1"/>
  <c r="L540" i="1"/>
  <c r="L540" i="1" a="1"/>
  <c r="L539" i="1" a="1"/>
  <c r="L539" i="1" s="1"/>
  <c r="M539" i="1" s="1"/>
  <c r="L538" i="1" a="1"/>
  <c r="L538" i="1" s="1"/>
  <c r="M538" i="1" s="1"/>
  <c r="L537" i="1" a="1"/>
  <c r="L537" i="1" s="1"/>
  <c r="M537" i="1" s="1"/>
  <c r="L536" i="1"/>
  <c r="M536" i="1" s="1"/>
  <c r="L536" i="1" a="1"/>
  <c r="L535" i="1" a="1"/>
  <c r="L535" i="1" s="1"/>
  <c r="M535" i="1" s="1"/>
  <c r="L534" i="1" a="1"/>
  <c r="L534" i="1" s="1"/>
  <c r="M534" i="1" s="1"/>
  <c r="L533" i="1" a="1"/>
  <c r="L533" i="1" s="1"/>
  <c r="M533" i="1" s="1"/>
  <c r="L532" i="1" a="1"/>
  <c r="L532" i="1" s="1"/>
  <c r="M532" i="1" s="1"/>
  <c r="M531" i="1"/>
  <c r="L531" i="1"/>
  <c r="L531" i="1" a="1"/>
  <c r="L530" i="1"/>
  <c r="M530" i="1" s="1"/>
  <c r="L530" i="1" a="1"/>
  <c r="L529" i="1" a="1"/>
  <c r="L529" i="1" s="1"/>
  <c r="M529" i="1" s="1"/>
  <c r="L528" i="1"/>
  <c r="M528" i="1" s="1"/>
  <c r="L528" i="1" a="1"/>
  <c r="L527" i="1" a="1"/>
  <c r="L527" i="1" s="1"/>
  <c r="M527" i="1" s="1"/>
  <c r="L526" i="1" a="1"/>
  <c r="L526" i="1" s="1"/>
  <c r="M526" i="1" s="1"/>
  <c r="L525" i="1" a="1"/>
  <c r="L525" i="1" s="1"/>
  <c r="M525" i="1" s="1"/>
  <c r="L524" i="1"/>
  <c r="M524" i="1" s="1"/>
  <c r="L524" i="1" a="1"/>
  <c r="L523" i="1" a="1"/>
  <c r="L523" i="1" s="1"/>
  <c r="M523" i="1" s="1"/>
  <c r="L522" i="1"/>
  <c r="M522" i="1" s="1"/>
  <c r="L522" i="1" a="1"/>
  <c r="L521" i="1" a="1"/>
  <c r="L521" i="1" s="1"/>
  <c r="M521" i="1" s="1"/>
  <c r="L520" i="1" a="1"/>
  <c r="L520" i="1" s="1"/>
  <c r="M520" i="1" s="1"/>
  <c r="L519" i="1" a="1"/>
  <c r="L519" i="1" s="1"/>
  <c r="M519" i="1" s="1"/>
  <c r="L518" i="1"/>
  <c r="M518" i="1" s="1"/>
  <c r="L518" i="1" a="1"/>
  <c r="M517" i="1"/>
  <c r="L517" i="1"/>
  <c r="L517" i="1" a="1"/>
  <c r="L516" i="1" a="1"/>
  <c r="L516" i="1" s="1"/>
  <c r="M516" i="1" s="1"/>
  <c r="L515" i="1" a="1"/>
  <c r="L515" i="1" s="1"/>
  <c r="M515" i="1" s="1"/>
  <c r="L514" i="1" a="1"/>
  <c r="L514" i="1" s="1"/>
  <c r="M514" i="1" s="1"/>
  <c r="L513" i="1" a="1"/>
  <c r="L513" i="1" s="1"/>
  <c r="M513" i="1" s="1"/>
  <c r="L512" i="1"/>
  <c r="M512" i="1" s="1"/>
  <c r="L512" i="1" a="1"/>
  <c r="L511" i="1" a="1"/>
  <c r="L511" i="1" s="1"/>
  <c r="M511" i="1" s="1"/>
  <c r="L510" i="1"/>
  <c r="M510" i="1" s="1"/>
  <c r="L510" i="1" a="1"/>
  <c r="M509" i="1"/>
  <c r="L509" i="1"/>
  <c r="L509" i="1" a="1"/>
  <c r="L508" i="1" a="1"/>
  <c r="L508" i="1" s="1"/>
  <c r="M508" i="1" s="1"/>
  <c r="L507" i="1" a="1"/>
  <c r="L507" i="1" s="1"/>
  <c r="M507" i="1" s="1"/>
  <c r="L506" i="1" a="1"/>
  <c r="L506" i="1" s="1"/>
  <c r="M506" i="1" s="1"/>
  <c r="L505" i="1"/>
  <c r="M505" i="1" s="1"/>
  <c r="L505" i="1" a="1"/>
  <c r="M504" i="1"/>
  <c r="L504" i="1"/>
  <c r="L504" i="1" a="1"/>
  <c r="M503" i="1"/>
  <c r="L503" i="1" a="1"/>
  <c r="L503" i="1" s="1"/>
  <c r="L502" i="1" a="1"/>
  <c r="L502" i="1" s="1"/>
  <c r="M502" i="1" s="1"/>
  <c r="L501" i="1" a="1"/>
  <c r="L501" i="1" s="1"/>
  <c r="M501" i="1" s="1"/>
  <c r="L500" i="1" a="1"/>
  <c r="L500" i="1" s="1"/>
  <c r="M500" i="1" s="1"/>
  <c r="L499" i="1" a="1"/>
  <c r="L499" i="1" s="1"/>
  <c r="M499" i="1" s="1"/>
  <c r="L498" i="1" a="1"/>
  <c r="L498" i="1" s="1"/>
  <c r="M498" i="1" s="1"/>
  <c r="L497" i="1"/>
  <c r="M497" i="1" s="1"/>
  <c r="L497" i="1" a="1"/>
  <c r="M496" i="1"/>
  <c r="L496" i="1" a="1"/>
  <c r="L496" i="1" s="1"/>
  <c r="M495" i="1"/>
  <c r="L495" i="1" a="1"/>
  <c r="L495" i="1" s="1"/>
  <c r="L494" i="1" a="1"/>
  <c r="L494" i="1" s="1"/>
  <c r="M494" i="1" s="1"/>
  <c r="L493" i="1" a="1"/>
  <c r="L493" i="1" s="1"/>
  <c r="M493" i="1" s="1"/>
  <c r="L492" i="1"/>
  <c r="M492" i="1" s="1"/>
  <c r="L492" i="1" a="1"/>
  <c r="L491" i="1" a="1"/>
  <c r="L491" i="1" s="1"/>
  <c r="M491" i="1" s="1"/>
  <c r="L490" i="1"/>
  <c r="M490" i="1" s="1"/>
  <c r="L490" i="1" a="1"/>
  <c r="L489" i="1" a="1"/>
  <c r="L489" i="1" s="1"/>
  <c r="M489" i="1" s="1"/>
  <c r="L488" i="1" a="1"/>
  <c r="L488" i="1" s="1"/>
  <c r="M488" i="1" s="1"/>
  <c r="L487" i="1" a="1"/>
  <c r="L487" i="1" s="1"/>
  <c r="M487" i="1" s="1"/>
  <c r="L486" i="1" a="1"/>
  <c r="L486" i="1" s="1"/>
  <c r="M486" i="1" s="1"/>
  <c r="L485" i="1" a="1"/>
  <c r="L485" i="1" s="1"/>
  <c r="M485" i="1" s="1"/>
  <c r="L484" i="1"/>
  <c r="M484" i="1" s="1"/>
  <c r="L484" i="1" a="1"/>
  <c r="M483" i="1"/>
  <c r="L483" i="1" a="1"/>
  <c r="L483" i="1" s="1"/>
  <c r="M482" i="1"/>
  <c r="L482" i="1"/>
  <c r="L482" i="1" a="1"/>
  <c r="L481" i="1" a="1"/>
  <c r="L481" i="1" s="1"/>
  <c r="M481" i="1" s="1"/>
  <c r="L480" i="1"/>
  <c r="M480" i="1" s="1"/>
  <c r="L480" i="1" a="1"/>
  <c r="L479" i="1" a="1"/>
  <c r="L479" i="1" s="1"/>
  <c r="M479" i="1" s="1"/>
  <c r="L478" i="1" a="1"/>
  <c r="L478" i="1" s="1"/>
  <c r="M478" i="1" s="1"/>
  <c r="L477" i="1"/>
  <c r="M477" i="1" s="1"/>
  <c r="L477" i="1" a="1"/>
  <c r="L476" i="1" a="1"/>
  <c r="L476" i="1" s="1"/>
  <c r="M476" i="1" s="1"/>
  <c r="M475" i="1"/>
  <c r="L475" i="1" a="1"/>
  <c r="L475" i="1" s="1"/>
  <c r="M474" i="1"/>
  <c r="L474" i="1" a="1"/>
  <c r="L474" i="1" s="1"/>
  <c r="L473" i="1" a="1"/>
  <c r="L473" i="1" s="1"/>
  <c r="M473" i="1" s="1"/>
  <c r="L472" i="1" a="1"/>
  <c r="L472" i="1" s="1"/>
  <c r="M472" i="1" s="1"/>
  <c r="L471" i="1" a="1"/>
  <c r="L471" i="1" s="1"/>
  <c r="M471" i="1" s="1"/>
  <c r="L470" i="1"/>
  <c r="M470" i="1" s="1"/>
  <c r="L470" i="1" a="1"/>
  <c r="M469" i="1"/>
  <c r="L469" i="1"/>
  <c r="L469" i="1" a="1"/>
  <c r="L468" i="1" a="1"/>
  <c r="L468" i="1" s="1"/>
  <c r="M468" i="1" s="1"/>
  <c r="L467" i="1" a="1"/>
  <c r="L467" i="1" s="1"/>
  <c r="M467" i="1" s="1"/>
  <c r="L466" i="1" a="1"/>
  <c r="L466" i="1" s="1"/>
  <c r="M466" i="1" s="1"/>
  <c r="L465" i="1" a="1"/>
  <c r="L465" i="1" s="1"/>
  <c r="M465" i="1" s="1"/>
  <c r="L464" i="1"/>
  <c r="M464" i="1" s="1"/>
  <c r="L464" i="1" a="1"/>
  <c r="L463" i="1" a="1"/>
  <c r="L463" i="1" s="1"/>
  <c r="M463" i="1" s="1"/>
  <c r="M462" i="1"/>
  <c r="L462" i="1"/>
  <c r="L462" i="1" a="1"/>
  <c r="L461" i="1" a="1"/>
  <c r="L461" i="1" s="1"/>
  <c r="M461" i="1" s="1"/>
  <c r="L460" i="1" a="1"/>
  <c r="L460" i="1" s="1"/>
  <c r="M460" i="1" s="1"/>
  <c r="L459" i="1" a="1"/>
  <c r="L459" i="1" s="1"/>
  <c r="M459" i="1" s="1"/>
  <c r="L458" i="1" a="1"/>
  <c r="L458" i="1" s="1"/>
  <c r="M458" i="1" s="1"/>
  <c r="L457" i="1"/>
  <c r="M457" i="1" s="1"/>
  <c r="L457" i="1" a="1"/>
  <c r="M456" i="1"/>
  <c r="L456" i="1"/>
  <c r="L456" i="1" a="1"/>
  <c r="M455" i="1"/>
  <c r="L455" i="1" a="1"/>
  <c r="L455" i="1" s="1"/>
  <c r="L454" i="1" a="1"/>
  <c r="L454" i="1" s="1"/>
  <c r="M454" i="1" s="1"/>
  <c r="M453" i="1"/>
  <c r="L453" i="1" a="1"/>
  <c r="L453" i="1" s="1"/>
  <c r="L452" i="1" a="1"/>
  <c r="L452" i="1" s="1"/>
  <c r="M452" i="1" s="1"/>
  <c r="L451" i="1" a="1"/>
  <c r="L451" i="1" s="1"/>
  <c r="M451" i="1" s="1"/>
  <c r="L450" i="1" a="1"/>
  <c r="L450" i="1" s="1"/>
  <c r="M450" i="1" s="1"/>
  <c r="M449" i="1"/>
  <c r="L449" i="1"/>
  <c r="L449" i="1" a="1"/>
  <c r="M448" i="1"/>
  <c r="L448" i="1" a="1"/>
  <c r="L448" i="1" s="1"/>
  <c r="M447" i="1"/>
  <c r="L447" i="1" a="1"/>
  <c r="L447" i="1" s="1"/>
  <c r="L446" i="1" a="1"/>
  <c r="L446" i="1" s="1"/>
  <c r="M446" i="1" s="1"/>
  <c r="L445" i="1" a="1"/>
  <c r="L445" i="1" s="1"/>
  <c r="M445" i="1" s="1"/>
  <c r="L444" i="1"/>
  <c r="M444" i="1" s="1"/>
  <c r="L444" i="1" a="1"/>
  <c r="L443" i="1" a="1"/>
  <c r="L443" i="1" s="1"/>
  <c r="M443" i="1" s="1"/>
  <c r="L442" i="1"/>
  <c r="M442" i="1" s="1"/>
  <c r="L442" i="1" a="1"/>
  <c r="L441" i="1" a="1"/>
  <c r="L441" i="1" s="1"/>
  <c r="M441" i="1" s="1"/>
  <c r="L440" i="1" a="1"/>
  <c r="L440" i="1" s="1"/>
  <c r="M440" i="1" s="1"/>
  <c r="L439" i="1" a="1"/>
  <c r="L439" i="1" s="1"/>
  <c r="M439" i="1" s="1"/>
  <c r="L438" i="1" a="1"/>
  <c r="L438" i="1" s="1"/>
  <c r="M438" i="1" s="1"/>
  <c r="L437" i="1" a="1"/>
  <c r="L437" i="1" s="1"/>
  <c r="M437" i="1" s="1"/>
  <c r="L436" i="1"/>
  <c r="M436" i="1" s="1"/>
  <c r="L436" i="1" a="1"/>
  <c r="M435" i="1"/>
  <c r="L435" i="1" a="1"/>
  <c r="L435" i="1" s="1"/>
  <c r="M434" i="1"/>
  <c r="L434" i="1"/>
  <c r="L434" i="1" a="1"/>
  <c r="L433" i="1" a="1"/>
  <c r="L433" i="1" s="1"/>
  <c r="M433" i="1" s="1"/>
  <c r="L432" i="1"/>
  <c r="M432" i="1" s="1"/>
  <c r="L432" i="1" a="1"/>
  <c r="L431" i="1" a="1"/>
  <c r="L431" i="1" s="1"/>
  <c r="M431" i="1" s="1"/>
  <c r="L430" i="1" a="1"/>
  <c r="L430" i="1" s="1"/>
  <c r="M430" i="1" s="1"/>
  <c r="L429" i="1"/>
  <c r="M429" i="1" s="1"/>
  <c r="L429" i="1" a="1"/>
  <c r="L428" i="1" a="1"/>
  <c r="L428" i="1" s="1"/>
  <c r="M428" i="1" s="1"/>
  <c r="M427" i="1"/>
  <c r="L427" i="1" a="1"/>
  <c r="L427" i="1" s="1"/>
  <c r="L426" i="1" a="1"/>
  <c r="L426" i="1" s="1"/>
  <c r="M426" i="1" s="1"/>
  <c r="L425" i="1" a="1"/>
  <c r="L425" i="1" s="1"/>
  <c r="M425" i="1" s="1"/>
  <c r="L424" i="1" a="1"/>
  <c r="L424" i="1" s="1"/>
  <c r="M424" i="1" s="1"/>
  <c r="L423" i="1" a="1"/>
  <c r="L423" i="1" s="1"/>
  <c r="M423" i="1" s="1"/>
  <c r="L422" i="1"/>
  <c r="M422" i="1" s="1"/>
  <c r="L422" i="1" a="1"/>
  <c r="M421" i="1"/>
  <c r="L421" i="1"/>
  <c r="L421" i="1" a="1"/>
  <c r="M420" i="1"/>
  <c r="L420" i="1" a="1"/>
  <c r="L420" i="1" s="1"/>
  <c r="L419" i="1" a="1"/>
  <c r="L419" i="1" s="1"/>
  <c r="M419" i="1" s="1"/>
  <c r="L418" i="1" a="1"/>
  <c r="L418" i="1" s="1"/>
  <c r="M418" i="1" s="1"/>
  <c r="L417" i="1" a="1"/>
  <c r="L417" i="1" s="1"/>
  <c r="M417" i="1" s="1"/>
  <c r="L416" i="1"/>
  <c r="M416" i="1" s="1"/>
  <c r="L416" i="1" a="1"/>
  <c r="L415" i="1" a="1"/>
  <c r="L415" i="1" s="1"/>
  <c r="M415" i="1" s="1"/>
  <c r="M414" i="1"/>
  <c r="L414" i="1"/>
  <c r="L414" i="1" a="1"/>
  <c r="M413" i="1"/>
  <c r="L413" i="1" a="1"/>
  <c r="L413" i="1" s="1"/>
  <c r="L412" i="1" a="1"/>
  <c r="L412" i="1" s="1"/>
  <c r="M412" i="1" s="1"/>
  <c r="L411" i="1" a="1"/>
  <c r="L411" i="1" s="1"/>
  <c r="M411" i="1" s="1"/>
  <c r="L410" i="1"/>
  <c r="M410" i="1" s="1"/>
  <c r="L410" i="1" a="1"/>
  <c r="L409" i="1"/>
  <c r="M409" i="1" s="1"/>
  <c r="L409" i="1" a="1"/>
  <c r="M408" i="1"/>
  <c r="L408" i="1"/>
  <c r="L408" i="1" a="1"/>
  <c r="M407" i="1"/>
  <c r="L407" i="1" a="1"/>
  <c r="L407" i="1" s="1"/>
  <c r="L406" i="1" a="1"/>
  <c r="L406" i="1" s="1"/>
  <c r="M406" i="1" s="1"/>
  <c r="L405" i="1" a="1"/>
  <c r="L405" i="1" s="1"/>
  <c r="M405" i="1" s="1"/>
  <c r="L404" i="1" a="1"/>
  <c r="L404" i="1" s="1"/>
  <c r="M404" i="1" s="1"/>
  <c r="L403" i="1" a="1"/>
  <c r="L403" i="1" s="1"/>
  <c r="M403" i="1" s="1"/>
  <c r="L402" i="1" a="1"/>
  <c r="L402" i="1" s="1"/>
  <c r="M402" i="1" s="1"/>
  <c r="M401" i="1"/>
  <c r="L401" i="1"/>
  <c r="L401" i="1" a="1"/>
  <c r="M400" i="1"/>
  <c r="L400" i="1" a="1"/>
  <c r="L400" i="1" s="1"/>
  <c r="M399" i="1"/>
  <c r="L399" i="1" a="1"/>
  <c r="L399" i="1" s="1"/>
  <c r="L398" i="1" a="1"/>
  <c r="L398" i="1" s="1"/>
  <c r="M398" i="1" s="1"/>
  <c r="L397" i="1"/>
  <c r="M397" i="1" s="1"/>
  <c r="L397" i="1" a="1"/>
  <c r="L396" i="1"/>
  <c r="M396" i="1" s="1"/>
  <c r="L396" i="1" a="1"/>
  <c r="L395" i="1" a="1"/>
  <c r="L395" i="1" s="1"/>
  <c r="M395" i="1" s="1"/>
  <c r="L394" i="1"/>
  <c r="M394" i="1" s="1"/>
  <c r="L394" i="1" a="1"/>
  <c r="L393" i="1" a="1"/>
  <c r="L393" i="1" s="1"/>
  <c r="M393" i="1" s="1"/>
  <c r="L392" i="1" a="1"/>
  <c r="L392" i="1" s="1"/>
  <c r="M392" i="1" s="1"/>
  <c r="L391" i="1" a="1"/>
  <c r="L391" i="1" s="1"/>
  <c r="M391" i="1" s="1"/>
  <c r="L390" i="1" a="1"/>
  <c r="L390" i="1" s="1"/>
  <c r="M390" i="1" s="1"/>
  <c r="L389" i="1" a="1"/>
  <c r="L389" i="1" s="1"/>
  <c r="M389" i="1" s="1"/>
  <c r="L388" i="1" a="1"/>
  <c r="L388" i="1" s="1"/>
  <c r="M388" i="1" s="1"/>
  <c r="M387" i="1"/>
  <c r="L387" i="1" a="1"/>
  <c r="L387" i="1" s="1"/>
  <c r="L386" i="1"/>
  <c r="M386" i="1" s="1"/>
  <c r="L386" i="1" a="1"/>
  <c r="M385" i="1"/>
  <c r="L385" i="1" a="1"/>
  <c r="L385" i="1" s="1"/>
  <c r="L384" i="1" a="1"/>
  <c r="L384" i="1" s="1"/>
  <c r="M384" i="1" s="1"/>
  <c r="L383" i="1" a="1"/>
  <c r="L383" i="1" s="1"/>
  <c r="M383" i="1" s="1"/>
  <c r="L382" i="1"/>
  <c r="M382" i="1" s="1"/>
  <c r="L382" i="1" a="1"/>
  <c r="L381" i="1"/>
  <c r="M381" i="1" s="1"/>
  <c r="L381" i="1" a="1"/>
  <c r="L380" i="1" a="1"/>
  <c r="L380" i="1" s="1"/>
  <c r="M380" i="1" s="1"/>
  <c r="L379" i="1" a="1"/>
  <c r="L379" i="1" s="1"/>
  <c r="M379" i="1" s="1"/>
  <c r="L378" i="1" a="1"/>
  <c r="L378" i="1" s="1"/>
  <c r="M378" i="1" s="1"/>
  <c r="M377" i="1"/>
  <c r="L377" i="1" a="1"/>
  <c r="L377" i="1" s="1"/>
  <c r="L376" i="1" a="1"/>
  <c r="L376" i="1" s="1"/>
  <c r="M376" i="1" s="1"/>
  <c r="L375" i="1" a="1"/>
  <c r="L375" i="1" s="1"/>
  <c r="M375" i="1" s="1"/>
  <c r="M374" i="1"/>
  <c r="L374" i="1"/>
  <c r="L374" i="1" a="1"/>
  <c r="L373" i="1"/>
  <c r="M373" i="1" s="1"/>
  <c r="L373" i="1" a="1"/>
  <c r="M372" i="1"/>
  <c r="L372" i="1" a="1"/>
  <c r="L372" i="1" s="1"/>
  <c r="L371" i="1" a="1"/>
  <c r="L371" i="1" s="1"/>
  <c r="M371" i="1" s="1"/>
  <c r="L370" i="1" a="1"/>
  <c r="L370" i="1" s="1"/>
  <c r="M370" i="1" s="1"/>
  <c r="L369" i="1" a="1"/>
  <c r="L369" i="1" s="1"/>
  <c r="M369" i="1" s="1"/>
  <c r="L368" i="1"/>
  <c r="M368" i="1" s="1"/>
  <c r="L368" i="1" a="1"/>
  <c r="L367" i="1" a="1"/>
  <c r="L367" i="1" s="1"/>
  <c r="M367" i="1" s="1"/>
  <c r="L366" i="1" a="1"/>
  <c r="L366" i="1" s="1"/>
  <c r="M366" i="1" s="1"/>
  <c r="L365" i="1"/>
  <c r="M365" i="1" s="1"/>
  <c r="L365" i="1" a="1"/>
  <c r="L364" i="1"/>
  <c r="M364" i="1" s="1"/>
  <c r="L364" i="1" a="1"/>
  <c r="L363" i="1" a="1"/>
  <c r="L363" i="1" s="1"/>
  <c r="M363" i="1" s="1"/>
  <c r="L362" i="1" a="1"/>
  <c r="L362" i="1" s="1"/>
  <c r="M362" i="1" s="1"/>
  <c r="L361" i="1" a="1"/>
  <c r="L361" i="1" s="1"/>
  <c r="M361" i="1" s="1"/>
  <c r="L360" i="1" a="1"/>
  <c r="L360" i="1" s="1"/>
  <c r="M360" i="1" s="1"/>
  <c r="L359" i="1" a="1"/>
  <c r="L359" i="1" s="1"/>
  <c r="M359" i="1" s="1"/>
  <c r="L358" i="1" a="1"/>
  <c r="L358" i="1" s="1"/>
  <c r="M358" i="1" s="1"/>
  <c r="L357" i="1"/>
  <c r="M357" i="1" s="1"/>
  <c r="L357" i="1" a="1"/>
  <c r="L356" i="1"/>
  <c r="M356" i="1" s="1"/>
  <c r="L356" i="1" a="1"/>
  <c r="L355" i="1" a="1"/>
  <c r="L355" i="1" s="1"/>
  <c r="M355" i="1" s="1"/>
  <c r="L354" i="1" a="1"/>
  <c r="L354" i="1" s="1"/>
  <c r="M354" i="1" s="1"/>
  <c r="L353" i="1"/>
  <c r="M353" i="1" s="1"/>
  <c r="L353" i="1" a="1"/>
  <c r="M352" i="1"/>
  <c r="L352" i="1"/>
  <c r="L352" i="1" a="1"/>
  <c r="M351" i="1"/>
  <c r="L351" i="1" a="1"/>
  <c r="L351" i="1" s="1"/>
  <c r="L350" i="1" a="1"/>
  <c r="L350" i="1" s="1"/>
  <c r="M350" i="1" s="1"/>
  <c r="L349" i="1"/>
  <c r="M349" i="1" s="1"/>
  <c r="L349" i="1" a="1"/>
  <c r="L348" i="1" a="1"/>
  <c r="L348" i="1" s="1"/>
  <c r="M348" i="1" s="1"/>
  <c r="M347" i="1"/>
  <c r="L347" i="1" a="1"/>
  <c r="L347" i="1" s="1"/>
  <c r="L346" i="1" a="1"/>
  <c r="L346" i="1" s="1"/>
  <c r="M346" i="1" s="1"/>
  <c r="L345" i="1"/>
  <c r="M345" i="1" s="1"/>
  <c r="L345" i="1" a="1"/>
  <c r="L344" i="1" a="1"/>
  <c r="L344" i="1" s="1"/>
  <c r="M344" i="1" s="1"/>
  <c r="L343" i="1" a="1"/>
  <c r="L343" i="1" s="1"/>
  <c r="M343" i="1" s="1"/>
  <c r="L342" i="1"/>
  <c r="M342" i="1" s="1"/>
  <c r="L342" i="1" a="1"/>
  <c r="L341" i="1" a="1"/>
  <c r="L341" i="1" s="1"/>
  <c r="M341" i="1" s="1"/>
  <c r="L340" i="1" a="1"/>
  <c r="L340" i="1" s="1"/>
  <c r="M340" i="1" s="1"/>
  <c r="L339" i="1" a="1"/>
  <c r="L339" i="1" s="1"/>
  <c r="M339" i="1" s="1"/>
  <c r="L338" i="1" a="1"/>
  <c r="L338" i="1" s="1"/>
  <c r="M338" i="1" s="1"/>
  <c r="L337" i="1" a="1"/>
  <c r="L337" i="1" s="1"/>
  <c r="M337" i="1" s="1"/>
  <c r="L336" i="1" a="1"/>
  <c r="L336" i="1" s="1"/>
  <c r="M336" i="1" s="1"/>
  <c r="L335" i="1" a="1"/>
  <c r="L335" i="1" s="1"/>
  <c r="M335" i="1" s="1"/>
  <c r="L334" i="1" a="1"/>
  <c r="L334" i="1" s="1"/>
  <c r="M334" i="1" s="1"/>
  <c r="L333" i="1"/>
  <c r="M333" i="1" s="1"/>
  <c r="L333" i="1" a="1"/>
  <c r="L332" i="1" a="1"/>
  <c r="L332" i="1" s="1"/>
  <c r="M332" i="1" s="1"/>
  <c r="L331" i="1" a="1"/>
  <c r="L331" i="1" s="1"/>
  <c r="M331" i="1" s="1"/>
  <c r="L330" i="1" a="1"/>
  <c r="L330" i="1" s="1"/>
  <c r="M330" i="1" s="1"/>
  <c r="L329" i="1"/>
  <c r="M329" i="1" s="1"/>
  <c r="L329" i="1" a="1"/>
  <c r="M328" i="1"/>
  <c r="L328" i="1"/>
  <c r="L328" i="1" a="1"/>
  <c r="L327" i="1" a="1"/>
  <c r="L327" i="1" s="1"/>
  <c r="M327" i="1" s="1"/>
  <c r="L326" i="1" a="1"/>
  <c r="L326" i="1" s="1"/>
  <c r="M326" i="1" s="1"/>
  <c r="L325" i="1"/>
  <c r="M325" i="1" s="1"/>
  <c r="L325" i="1" a="1"/>
  <c r="L324" i="1" a="1"/>
  <c r="L324" i="1" s="1"/>
  <c r="M324" i="1" s="1"/>
  <c r="M323" i="1"/>
  <c r="L323" i="1" a="1"/>
  <c r="L323" i="1" s="1"/>
  <c r="L322" i="1" a="1"/>
  <c r="L322" i="1" s="1"/>
  <c r="M322" i="1" s="1"/>
  <c r="L321" i="1"/>
  <c r="M321" i="1" s="1"/>
  <c r="L321" i="1" a="1"/>
  <c r="L320" i="1" a="1"/>
  <c r="L320" i="1" s="1"/>
  <c r="M320" i="1" s="1"/>
  <c r="L319" i="1" a="1"/>
  <c r="L319" i="1" s="1"/>
  <c r="M319" i="1" s="1"/>
  <c r="L318" i="1"/>
  <c r="M318" i="1" s="1"/>
  <c r="L318" i="1" a="1"/>
  <c r="L317" i="1"/>
  <c r="M317" i="1" s="1"/>
  <c r="L317" i="1" a="1"/>
  <c r="L316" i="1" a="1"/>
  <c r="L316" i="1" s="1"/>
  <c r="M316" i="1" s="1"/>
  <c r="L315" i="1" a="1"/>
  <c r="L315" i="1" s="1"/>
  <c r="M315" i="1" s="1"/>
  <c r="L314" i="1" a="1"/>
  <c r="L314" i="1" s="1"/>
  <c r="M314" i="1" s="1"/>
  <c r="L313" i="1" a="1"/>
  <c r="L313" i="1" s="1"/>
  <c r="M313" i="1" s="1"/>
  <c r="L312" i="1" a="1"/>
  <c r="L312" i="1" s="1"/>
  <c r="M312" i="1" s="1"/>
  <c r="L311" i="1" a="1"/>
  <c r="L311" i="1" s="1"/>
  <c r="M311" i="1" s="1"/>
  <c r="L310" i="1" a="1"/>
  <c r="L310" i="1" s="1"/>
  <c r="M310" i="1" s="1"/>
  <c r="L309" i="1"/>
  <c r="M309" i="1" s="1"/>
  <c r="L309" i="1" a="1"/>
  <c r="L308" i="1" a="1"/>
  <c r="L308" i="1" s="1"/>
  <c r="M308" i="1" s="1"/>
  <c r="L307" i="1" a="1"/>
  <c r="L307" i="1" s="1"/>
  <c r="M307" i="1" s="1"/>
  <c r="L306" i="1" a="1"/>
  <c r="L306" i="1" s="1"/>
  <c r="M306" i="1" s="1"/>
  <c r="L305" i="1"/>
  <c r="M305" i="1" s="1"/>
  <c r="L305" i="1" a="1"/>
  <c r="M304" i="1"/>
  <c r="L304" i="1"/>
  <c r="L304" i="1" a="1"/>
  <c r="L303" i="1" a="1"/>
  <c r="L303" i="1" s="1"/>
  <c r="M303" i="1" s="1"/>
  <c r="L302" i="1" a="1"/>
  <c r="L302" i="1" s="1"/>
  <c r="M302" i="1" s="1"/>
  <c r="L301" i="1"/>
  <c r="M301" i="1" s="1"/>
  <c r="L301" i="1" a="1"/>
  <c r="L300" i="1" a="1"/>
  <c r="L300" i="1" s="1"/>
  <c r="M300" i="1" s="1"/>
  <c r="M299" i="1"/>
  <c r="L299" i="1" a="1"/>
  <c r="L299" i="1" s="1"/>
  <c r="L298" i="1" a="1"/>
  <c r="L298" i="1" s="1"/>
  <c r="M298" i="1" s="1"/>
  <c r="L297" i="1"/>
  <c r="M297" i="1" s="1"/>
  <c r="L297" i="1" a="1"/>
  <c r="L296" i="1" a="1"/>
  <c r="L296" i="1" s="1"/>
  <c r="M296" i="1" s="1"/>
  <c r="L295" i="1" a="1"/>
  <c r="L295" i="1" s="1"/>
  <c r="M295" i="1" s="1"/>
  <c r="L294" i="1"/>
  <c r="M294" i="1" s="1"/>
  <c r="L294" i="1" a="1"/>
  <c r="L293" i="1"/>
  <c r="M293" i="1" s="1"/>
  <c r="L293" i="1" a="1"/>
  <c r="L292" i="1" a="1"/>
  <c r="L292" i="1" s="1"/>
  <c r="M292" i="1" s="1"/>
  <c r="L291" i="1" a="1"/>
  <c r="L291" i="1" s="1"/>
  <c r="M291" i="1" s="1"/>
  <c r="L290" i="1" a="1"/>
  <c r="L290" i="1" s="1"/>
  <c r="M290" i="1" s="1"/>
  <c r="M289" i="1"/>
  <c r="L289" i="1"/>
  <c r="L289" i="1" a="1"/>
  <c r="L288" i="1" a="1"/>
  <c r="L288" i="1" s="1"/>
  <c r="M288" i="1" s="1"/>
  <c r="L287" i="1" a="1"/>
  <c r="L287" i="1" s="1"/>
  <c r="M287" i="1" s="1"/>
  <c r="L286" i="1" a="1"/>
  <c r="L286" i="1" s="1"/>
  <c r="M286" i="1" s="1"/>
  <c r="L285" i="1"/>
  <c r="M285" i="1" s="1"/>
  <c r="L285" i="1" a="1"/>
  <c r="L284" i="1" a="1"/>
  <c r="L284" i="1" s="1"/>
  <c r="M284" i="1" s="1"/>
  <c r="L283" i="1" a="1"/>
  <c r="L283" i="1" s="1"/>
  <c r="M283" i="1" s="1"/>
  <c r="L282" i="1" a="1"/>
  <c r="L282" i="1" s="1"/>
  <c r="M282" i="1" s="1"/>
  <c r="L281" i="1"/>
  <c r="M281" i="1" s="1"/>
  <c r="L281" i="1" a="1"/>
  <c r="M280" i="1"/>
  <c r="L280" i="1"/>
  <c r="L280" i="1" a="1"/>
  <c r="L279" i="1" a="1"/>
  <c r="L279" i="1" s="1"/>
  <c r="M279" i="1" s="1"/>
  <c r="L278" i="1" a="1"/>
  <c r="L278" i="1" s="1"/>
  <c r="M278" i="1" s="1"/>
  <c r="L277" i="1"/>
  <c r="M277" i="1" s="1"/>
  <c r="L277" i="1" a="1"/>
  <c r="L276" i="1" a="1"/>
  <c r="L276" i="1" s="1"/>
  <c r="M276" i="1" s="1"/>
  <c r="M275" i="1"/>
  <c r="L275" i="1" a="1"/>
  <c r="L275" i="1" s="1"/>
  <c r="L274" i="1" a="1"/>
  <c r="L274" i="1" s="1"/>
  <c r="M274" i="1" s="1"/>
  <c r="L273" i="1"/>
  <c r="M273" i="1" s="1"/>
  <c r="L273" i="1" a="1"/>
  <c r="L272" i="1" a="1"/>
  <c r="L272" i="1" s="1"/>
  <c r="M272" i="1" s="1"/>
  <c r="L271" i="1" a="1"/>
  <c r="L271" i="1" s="1"/>
  <c r="M271" i="1" s="1"/>
  <c r="L270" i="1"/>
  <c r="M270" i="1" s="1"/>
  <c r="L270" i="1" a="1"/>
  <c r="L269" i="1"/>
  <c r="M269" i="1" s="1"/>
  <c r="L269" i="1" a="1"/>
  <c r="L268" i="1" a="1"/>
  <c r="L268" i="1" s="1"/>
  <c r="M268" i="1" s="1"/>
  <c r="L267" i="1" a="1"/>
  <c r="L267" i="1" s="1"/>
  <c r="M267" i="1" s="1"/>
  <c r="L266" i="1" a="1"/>
  <c r="L266" i="1" s="1"/>
  <c r="M266" i="1" s="1"/>
  <c r="M265" i="1"/>
  <c r="L265" i="1"/>
  <c r="L265" i="1" a="1"/>
  <c r="L264" i="1" a="1"/>
  <c r="L264" i="1" s="1"/>
  <c r="M264" i="1" s="1"/>
  <c r="L263" i="1" a="1"/>
  <c r="L263" i="1" s="1"/>
  <c r="M263" i="1" s="1"/>
  <c r="L262" i="1" a="1"/>
  <c r="L262" i="1" s="1"/>
  <c r="M262" i="1" s="1"/>
  <c r="L261" i="1"/>
  <c r="M261" i="1" s="1"/>
  <c r="L261" i="1" a="1"/>
  <c r="L260" i="1" a="1"/>
  <c r="L260" i="1" s="1"/>
  <c r="M260" i="1" s="1"/>
  <c r="L259" i="1" a="1"/>
  <c r="L259" i="1" s="1"/>
  <c r="M259" i="1" s="1"/>
  <c r="L258" i="1" a="1"/>
  <c r="L258" i="1" s="1"/>
  <c r="M258" i="1" s="1"/>
  <c r="L257" i="1"/>
  <c r="M257" i="1" s="1"/>
  <c r="L257" i="1" a="1"/>
  <c r="M256" i="1"/>
  <c r="L256" i="1"/>
  <c r="L256" i="1" a="1"/>
  <c r="L255" i="1" a="1"/>
  <c r="L255" i="1" s="1"/>
  <c r="M255" i="1" s="1"/>
  <c r="L254" i="1" a="1"/>
  <c r="L254" i="1" s="1"/>
  <c r="M254" i="1" s="1"/>
  <c r="L253" i="1"/>
  <c r="M253" i="1" s="1"/>
  <c r="L253" i="1" a="1"/>
  <c r="L252" i="1" a="1"/>
  <c r="L252" i="1" s="1"/>
  <c r="M252" i="1" s="1"/>
  <c r="M251" i="1"/>
  <c r="L251" i="1" a="1"/>
  <c r="L251" i="1" s="1"/>
  <c r="L250" i="1" a="1"/>
  <c r="L250" i="1" s="1"/>
  <c r="M250" i="1" s="1"/>
  <c r="L249" i="1"/>
  <c r="M249" i="1" s="1"/>
  <c r="L249" i="1" a="1"/>
  <c r="L248" i="1" a="1"/>
  <c r="L248" i="1" s="1"/>
  <c r="M248" i="1" s="1"/>
  <c r="L247" i="1" a="1"/>
  <c r="L247" i="1" s="1"/>
  <c r="M247" i="1" s="1"/>
  <c r="L246" i="1"/>
  <c r="M246" i="1" s="1"/>
  <c r="L246" i="1" a="1"/>
  <c r="L245" i="1"/>
  <c r="M245" i="1" s="1"/>
  <c r="L245" i="1" a="1"/>
  <c r="L244" i="1" a="1"/>
  <c r="L244" i="1" s="1"/>
  <c r="M244" i="1" s="1"/>
  <c r="L243" i="1" a="1"/>
  <c r="L243" i="1" s="1"/>
  <c r="M243" i="1" s="1"/>
  <c r="L242" i="1" a="1"/>
  <c r="L242" i="1" s="1"/>
  <c r="M242" i="1" s="1"/>
  <c r="M241" i="1"/>
  <c r="L241" i="1"/>
  <c r="L241" i="1" a="1"/>
  <c r="L240" i="1" a="1"/>
  <c r="L240" i="1" s="1"/>
  <c r="M240" i="1" s="1"/>
  <c r="L239" i="1" a="1"/>
  <c r="L239" i="1" s="1"/>
  <c r="M239" i="1" s="1"/>
  <c r="L238" i="1" a="1"/>
  <c r="L238" i="1" s="1"/>
  <c r="M238" i="1" s="1"/>
  <c r="L237" i="1"/>
  <c r="M237" i="1" s="1"/>
  <c r="L237" i="1" a="1"/>
  <c r="L236" i="1" a="1"/>
  <c r="L236" i="1" s="1"/>
  <c r="M236" i="1" s="1"/>
  <c r="L235" i="1" a="1"/>
  <c r="L235" i="1" s="1"/>
  <c r="M235" i="1" s="1"/>
  <c r="L234" i="1" a="1"/>
  <c r="L234" i="1" s="1"/>
  <c r="M234" i="1" s="1"/>
  <c r="L233" i="1"/>
  <c r="M233" i="1" s="1"/>
  <c r="L233" i="1" a="1"/>
  <c r="M232" i="1"/>
  <c r="L232" i="1"/>
  <c r="L232" i="1" a="1"/>
  <c r="L231" i="1" a="1"/>
  <c r="L231" i="1" s="1"/>
  <c r="M231" i="1" s="1"/>
  <c r="L230" i="1" a="1"/>
  <c r="L230" i="1" s="1"/>
  <c r="M230" i="1" s="1"/>
  <c r="L229" i="1"/>
  <c r="M229" i="1" s="1"/>
  <c r="L229" i="1" a="1"/>
  <c r="L228" i="1" a="1"/>
  <c r="L228" i="1" s="1"/>
  <c r="M228" i="1" s="1"/>
  <c r="M227" i="1"/>
  <c r="L227" i="1" a="1"/>
  <c r="L227" i="1" s="1"/>
  <c r="L226" i="1" a="1"/>
  <c r="L226" i="1" s="1"/>
  <c r="M226" i="1" s="1"/>
  <c r="L225" i="1"/>
  <c r="M225" i="1" s="1"/>
  <c r="L225" i="1" a="1"/>
  <c r="L224" i="1" a="1"/>
  <c r="L224" i="1" s="1"/>
  <c r="M224" i="1" s="1"/>
  <c r="L223" i="1" a="1"/>
  <c r="L223" i="1" s="1"/>
  <c r="M223" i="1" s="1"/>
  <c r="L222" i="1" a="1"/>
  <c r="L222" i="1" s="1"/>
  <c r="M222" i="1" s="1"/>
  <c r="L221" i="1"/>
  <c r="M221" i="1" s="1"/>
  <c r="L221" i="1" a="1"/>
  <c r="L220" i="1" a="1"/>
  <c r="L220" i="1" s="1"/>
  <c r="M220" i="1" s="1"/>
  <c r="L219" i="1" a="1"/>
  <c r="L219" i="1" s="1"/>
  <c r="M219" i="1" s="1"/>
  <c r="L218" i="1" a="1"/>
  <c r="L218" i="1" s="1"/>
  <c r="M218" i="1" s="1"/>
  <c r="L217" i="1"/>
  <c r="M217" i="1" s="1"/>
  <c r="L217" i="1" a="1"/>
  <c r="L216" i="1" a="1"/>
  <c r="L216" i="1" s="1"/>
  <c r="M216" i="1" s="1"/>
  <c r="L215" i="1" a="1"/>
  <c r="L215" i="1" s="1"/>
  <c r="M215" i="1" s="1"/>
  <c r="L214" i="1" a="1"/>
  <c r="L214" i="1" s="1"/>
  <c r="M214" i="1" s="1"/>
  <c r="L213" i="1"/>
  <c r="M213" i="1" s="1"/>
  <c r="L213" i="1" a="1"/>
  <c r="L212" i="1" a="1"/>
  <c r="L212" i="1" s="1"/>
  <c r="M212" i="1" s="1"/>
  <c r="L211" i="1" a="1"/>
  <c r="L211" i="1" s="1"/>
  <c r="M211" i="1" s="1"/>
  <c r="L210" i="1" a="1"/>
  <c r="L210" i="1" s="1"/>
  <c r="M210" i="1" s="1"/>
  <c r="L209" i="1"/>
  <c r="M209" i="1" s="1"/>
  <c r="L209" i="1" a="1"/>
  <c r="L208" i="1" a="1"/>
  <c r="L208" i="1" s="1"/>
  <c r="M208" i="1" s="1"/>
  <c r="L207" i="1" a="1"/>
  <c r="L207" i="1" s="1"/>
  <c r="M207" i="1" s="1"/>
  <c r="L206" i="1" a="1"/>
  <c r="L206" i="1" s="1"/>
  <c r="M206" i="1" s="1"/>
  <c r="L205" i="1"/>
  <c r="M205" i="1" s="1"/>
  <c r="L205" i="1" a="1"/>
  <c r="L204" i="1" a="1"/>
  <c r="L204" i="1" s="1"/>
  <c r="M204" i="1" s="1"/>
  <c r="L203" i="1" a="1"/>
  <c r="L203" i="1" s="1"/>
  <c r="M203" i="1" s="1"/>
  <c r="L202" i="1"/>
  <c r="M202" i="1" s="1"/>
  <c r="L202" i="1" a="1"/>
  <c r="L201" i="1" a="1"/>
  <c r="L201" i="1" s="1"/>
  <c r="M201" i="1" s="1"/>
  <c r="L200" i="1"/>
  <c r="M200" i="1" s="1"/>
  <c r="L200" i="1" a="1"/>
  <c r="M199" i="1"/>
  <c r="L199" i="1" a="1"/>
  <c r="L199" i="1" s="1"/>
  <c r="L198" i="1" a="1"/>
  <c r="L198" i="1" s="1"/>
  <c r="M198" i="1" s="1"/>
  <c r="L197" i="1"/>
  <c r="M197" i="1" s="1"/>
  <c r="L197" i="1" a="1"/>
  <c r="L196" i="1" a="1"/>
  <c r="L196" i="1" s="1"/>
  <c r="M196" i="1" s="1"/>
  <c r="L195" i="1" a="1"/>
  <c r="L195" i="1" s="1"/>
  <c r="M195" i="1" s="1"/>
  <c r="L194" i="1"/>
  <c r="M194" i="1" s="1"/>
  <c r="L194" i="1" a="1"/>
  <c r="L193" i="1" a="1"/>
  <c r="L193" i="1" s="1"/>
  <c r="M193" i="1" s="1"/>
  <c r="L192" i="1"/>
  <c r="M192" i="1" s="1"/>
  <c r="L192" i="1" a="1"/>
  <c r="M191" i="1"/>
  <c r="L191" i="1" a="1"/>
  <c r="L191" i="1" s="1"/>
  <c r="L190" i="1" a="1"/>
  <c r="L190" i="1" s="1"/>
  <c r="M190" i="1" s="1"/>
  <c r="L189" i="1"/>
  <c r="M189" i="1" s="1"/>
  <c r="L189" i="1" a="1"/>
  <c r="L188" i="1" a="1"/>
  <c r="L188" i="1" s="1"/>
  <c r="M188" i="1" s="1"/>
  <c r="L187" i="1" a="1"/>
  <c r="L187" i="1" s="1"/>
  <c r="M187" i="1" s="1"/>
  <c r="L186" i="1"/>
  <c r="M186" i="1" s="1"/>
  <c r="L186" i="1" a="1"/>
  <c r="L185" i="1" a="1"/>
  <c r="L185" i="1" s="1"/>
  <c r="M185" i="1" s="1"/>
  <c r="L184" i="1"/>
  <c r="M184" i="1" s="1"/>
  <c r="L184" i="1" a="1"/>
  <c r="M183" i="1"/>
  <c r="L183" i="1" a="1"/>
  <c r="L183" i="1" s="1"/>
  <c r="L182" i="1" a="1"/>
  <c r="L182" i="1" s="1"/>
  <c r="M182" i="1" s="1"/>
  <c r="L181" i="1"/>
  <c r="M181" i="1" s="1"/>
  <c r="L181" i="1" a="1"/>
  <c r="L180" i="1" a="1"/>
  <c r="L180" i="1" s="1"/>
  <c r="M180" i="1" s="1"/>
  <c r="L179" i="1" a="1"/>
  <c r="L179" i="1" s="1"/>
  <c r="M179" i="1" s="1"/>
  <c r="L178" i="1"/>
  <c r="M178" i="1" s="1"/>
  <c r="L178" i="1" a="1"/>
  <c r="L177" i="1" a="1"/>
  <c r="L177" i="1" s="1"/>
  <c r="M177" i="1" s="1"/>
  <c r="L176" i="1"/>
  <c r="M176" i="1" s="1"/>
  <c r="L176" i="1" a="1"/>
  <c r="M175" i="1"/>
  <c r="L175" i="1" a="1"/>
  <c r="L175" i="1" s="1"/>
  <c r="L174" i="1" a="1"/>
  <c r="L174" i="1" s="1"/>
  <c r="M174" i="1" s="1"/>
  <c r="L173" i="1"/>
  <c r="M173" i="1" s="1"/>
  <c r="L173" i="1" a="1"/>
  <c r="L172" i="1" a="1"/>
  <c r="L172" i="1" s="1"/>
  <c r="M172" i="1" s="1"/>
  <c r="L171" i="1" a="1"/>
  <c r="L171" i="1" s="1"/>
  <c r="M171" i="1" s="1"/>
  <c r="L170" i="1"/>
  <c r="M170" i="1" s="1"/>
  <c r="L170" i="1" a="1"/>
  <c r="L169" i="1" a="1"/>
  <c r="L169" i="1" s="1"/>
  <c r="M169" i="1" s="1"/>
  <c r="L168" i="1"/>
  <c r="M168" i="1" s="1"/>
  <c r="L168" i="1" a="1"/>
  <c r="M167" i="1"/>
  <c r="L167" i="1" a="1"/>
  <c r="L167" i="1" s="1"/>
  <c r="L166" i="1" a="1"/>
  <c r="L166" i="1" s="1"/>
  <c r="M166" i="1" s="1"/>
  <c r="L165" i="1"/>
  <c r="M165" i="1" s="1"/>
  <c r="L165" i="1" a="1"/>
  <c r="L164" i="1" a="1"/>
  <c r="L164" i="1" s="1"/>
  <c r="M164" i="1" s="1"/>
  <c r="L163" i="1" a="1"/>
  <c r="L163" i="1" s="1"/>
  <c r="M163" i="1" s="1"/>
  <c r="L162" i="1"/>
  <c r="M162" i="1" s="1"/>
  <c r="L162" i="1" a="1"/>
  <c r="L161" i="1" a="1"/>
  <c r="L161" i="1" s="1"/>
  <c r="M161" i="1" s="1"/>
  <c r="L160" i="1"/>
  <c r="M160" i="1" s="1"/>
  <c r="L160" i="1" a="1"/>
  <c r="M159" i="1"/>
  <c r="L159" i="1" a="1"/>
  <c r="L159" i="1" s="1"/>
  <c r="L158" i="1" a="1"/>
  <c r="L158" i="1" s="1"/>
  <c r="M158" i="1" s="1"/>
  <c r="L157" i="1"/>
  <c r="M157" i="1" s="1"/>
  <c r="L157" i="1" a="1"/>
  <c r="L156" i="1" a="1"/>
  <c r="L156" i="1" s="1"/>
  <c r="M156" i="1" s="1"/>
  <c r="L155" i="1" a="1"/>
  <c r="L155" i="1" s="1"/>
  <c r="M155" i="1" s="1"/>
  <c r="L154" i="1"/>
  <c r="M154" i="1" s="1"/>
  <c r="L154" i="1" a="1"/>
  <c r="L153" i="1" a="1"/>
  <c r="L153" i="1" s="1"/>
  <c r="M153" i="1" s="1"/>
  <c r="L152" i="1"/>
  <c r="M152" i="1" s="1"/>
  <c r="L152" i="1" a="1"/>
  <c r="M151" i="1"/>
  <c r="L151" i="1" a="1"/>
  <c r="L151" i="1" s="1"/>
  <c r="L150" i="1" a="1"/>
  <c r="L150" i="1" s="1"/>
  <c r="M150" i="1" s="1"/>
  <c r="L149" i="1"/>
  <c r="M149" i="1" s="1"/>
  <c r="L149" i="1" a="1"/>
  <c r="L148" i="1" a="1"/>
  <c r="L148" i="1" s="1"/>
  <c r="M148" i="1" s="1"/>
  <c r="L147" i="1" a="1"/>
  <c r="L147" i="1" s="1"/>
  <c r="M147" i="1" s="1"/>
  <c r="M146" i="1"/>
  <c r="L146" i="1"/>
  <c r="L146" i="1" a="1"/>
  <c r="L145" i="1" a="1"/>
  <c r="L145" i="1" s="1"/>
  <c r="M145" i="1" s="1"/>
  <c r="L144" i="1"/>
  <c r="M144" i="1" s="1"/>
  <c r="L144" i="1" a="1"/>
  <c r="M143" i="1"/>
  <c r="L143" i="1" a="1"/>
  <c r="L143" i="1" s="1"/>
  <c r="M142" i="1"/>
  <c r="L142" i="1"/>
  <c r="L142" i="1" a="1"/>
  <c r="L141" i="1"/>
  <c r="M141" i="1" s="1"/>
  <c r="L141" i="1" a="1"/>
  <c r="L140" i="1" a="1"/>
  <c r="L140" i="1" s="1"/>
  <c r="M140" i="1" s="1"/>
  <c r="L139" i="1" a="1"/>
  <c r="L139" i="1" s="1"/>
  <c r="M139" i="1" s="1"/>
  <c r="L138" i="1"/>
  <c r="M138" i="1" s="1"/>
  <c r="L138" i="1" a="1"/>
  <c r="L137" i="1" a="1"/>
  <c r="L137" i="1" s="1"/>
  <c r="M137" i="1" s="1"/>
  <c r="L136" i="1"/>
  <c r="M136" i="1" s="1"/>
  <c r="L136" i="1" a="1"/>
  <c r="M135" i="1"/>
  <c r="L135" i="1" a="1"/>
  <c r="L135" i="1" s="1"/>
  <c r="L134" i="1" a="1"/>
  <c r="L134" i="1" s="1"/>
  <c r="M134" i="1" s="1"/>
  <c r="M133" i="1"/>
  <c r="L133" i="1"/>
  <c r="L133" i="1" a="1"/>
  <c r="L132" i="1" a="1"/>
  <c r="L132" i="1" s="1"/>
  <c r="M132" i="1" s="1"/>
  <c r="L131" i="1" a="1"/>
  <c r="L131" i="1" s="1"/>
  <c r="M131" i="1" s="1"/>
  <c r="L130" i="1"/>
  <c r="M130" i="1" s="1"/>
  <c r="L130" i="1" a="1"/>
  <c r="M129" i="1"/>
  <c r="L129" i="1"/>
  <c r="L129" i="1" a="1"/>
  <c r="L128" i="1"/>
  <c r="M128" i="1" s="1"/>
  <c r="L128" i="1" a="1"/>
  <c r="M127" i="1"/>
  <c r="L127" i="1" a="1"/>
  <c r="L127" i="1" s="1"/>
  <c r="L126" i="1" a="1"/>
  <c r="L126" i="1" s="1"/>
  <c r="M126" i="1" s="1"/>
  <c r="L125" i="1"/>
  <c r="M125" i="1" s="1"/>
  <c r="L125" i="1" a="1"/>
  <c r="L124" i="1" a="1"/>
  <c r="L124" i="1" s="1"/>
  <c r="M124" i="1" s="1"/>
  <c r="L123" i="1" a="1"/>
  <c r="L123" i="1" s="1"/>
  <c r="M123" i="1" s="1"/>
  <c r="L122" i="1"/>
  <c r="M122" i="1" s="1"/>
  <c r="L122" i="1" a="1"/>
  <c r="L121" i="1" a="1"/>
  <c r="L121" i="1" s="1"/>
  <c r="M121" i="1" s="1"/>
  <c r="M120" i="1"/>
  <c r="L120" i="1"/>
  <c r="L120" i="1" a="1"/>
  <c r="M119" i="1"/>
  <c r="L119" i="1" a="1"/>
  <c r="L119" i="1" s="1"/>
  <c r="L118" i="1" a="1"/>
  <c r="L118" i="1" s="1"/>
  <c r="M118" i="1" s="1"/>
  <c r="L117" i="1"/>
  <c r="M117" i="1" s="1"/>
  <c r="L117" i="1" a="1"/>
  <c r="M116" i="1"/>
  <c r="L116" i="1"/>
  <c r="L116" i="1" a="1"/>
  <c r="L115" i="1" a="1"/>
  <c r="L115" i="1" s="1"/>
  <c r="M115" i="1" s="1"/>
  <c r="L114" i="1"/>
  <c r="M114" i="1" s="1"/>
  <c r="L114" i="1" a="1"/>
  <c r="L113" i="1" a="1"/>
  <c r="L113" i="1" s="1"/>
  <c r="M113" i="1" s="1"/>
  <c r="L112" i="1"/>
  <c r="M112" i="1" s="1"/>
  <c r="L112" i="1" a="1"/>
  <c r="M111" i="1"/>
  <c r="L111" i="1" a="1"/>
  <c r="L111" i="1" s="1"/>
  <c r="L110" i="1" a="1"/>
  <c r="L110" i="1" s="1"/>
  <c r="M110" i="1" s="1"/>
  <c r="L109" i="1"/>
  <c r="M109" i="1" s="1"/>
  <c r="L109" i="1" a="1"/>
  <c r="L108" i="1" a="1"/>
  <c r="L108" i="1" s="1"/>
  <c r="M108" i="1" s="1"/>
  <c r="M107" i="1"/>
  <c r="L107" i="1" a="1"/>
  <c r="L107" i="1" s="1"/>
  <c r="L106" i="1"/>
  <c r="M106" i="1" s="1"/>
  <c r="L106" i="1" a="1"/>
  <c r="L105" i="1" a="1"/>
  <c r="L105" i="1" s="1"/>
  <c r="M105" i="1" s="1"/>
  <c r="L104" i="1"/>
  <c r="M104" i="1" s="1"/>
  <c r="L104" i="1" a="1"/>
  <c r="M103" i="1"/>
  <c r="L103" i="1" a="1"/>
  <c r="L103" i="1" s="1"/>
  <c r="L102" i="1" a="1"/>
  <c r="L102" i="1" s="1"/>
  <c r="M102" i="1" s="1"/>
  <c r="L101" i="1"/>
  <c r="M101" i="1" s="1"/>
  <c r="L101" i="1" a="1"/>
  <c r="L100" i="1" a="1"/>
  <c r="L100" i="1" s="1"/>
  <c r="M100" i="1" s="1"/>
  <c r="L99" i="1" a="1"/>
  <c r="L99" i="1" s="1"/>
  <c r="M99" i="1" s="1"/>
  <c r="M98" i="1"/>
  <c r="L98" i="1"/>
  <c r="L98" i="1" a="1"/>
  <c r="L97" i="1" a="1"/>
  <c r="L97" i="1" s="1"/>
  <c r="M97" i="1" s="1"/>
  <c r="L96" i="1"/>
  <c r="M96" i="1" s="1"/>
  <c r="L96" i="1" a="1"/>
  <c r="M95" i="1"/>
  <c r="L95" i="1" a="1"/>
  <c r="L95" i="1" s="1"/>
  <c r="M94" i="1"/>
  <c r="L94" i="1"/>
  <c r="L94" i="1" a="1"/>
  <c r="L93" i="1"/>
  <c r="M93" i="1" s="1"/>
  <c r="L93" i="1" a="1"/>
  <c r="L92" i="1" a="1"/>
  <c r="L92" i="1" s="1"/>
  <c r="M92" i="1" s="1"/>
  <c r="L91" i="1" a="1"/>
  <c r="L91" i="1" s="1"/>
  <c r="M91" i="1" s="1"/>
  <c r="L90" i="1"/>
  <c r="M90" i="1" s="1"/>
  <c r="L90" i="1" a="1"/>
  <c r="L89" i="1" a="1"/>
  <c r="L89" i="1" s="1"/>
  <c r="M89" i="1" s="1"/>
  <c r="L88" i="1"/>
  <c r="M88" i="1" s="1"/>
  <c r="L88" i="1" a="1"/>
  <c r="M87" i="1"/>
  <c r="L87" i="1" a="1"/>
  <c r="L87" i="1" s="1"/>
  <c r="L86" i="1" a="1"/>
  <c r="L86" i="1" s="1"/>
  <c r="M86" i="1" s="1"/>
  <c r="M85" i="1"/>
  <c r="L85" i="1"/>
  <c r="L85" i="1" a="1"/>
  <c r="L84" i="1" a="1"/>
  <c r="L84" i="1" s="1"/>
  <c r="M84" i="1" s="1"/>
  <c r="L83" i="1" a="1"/>
  <c r="L83" i="1" s="1"/>
  <c r="M83" i="1" s="1"/>
  <c r="L82" i="1"/>
  <c r="M82" i="1" s="1"/>
  <c r="L82" i="1" a="1"/>
  <c r="M81" i="1"/>
  <c r="L81" i="1"/>
  <c r="L81" i="1" a="1"/>
  <c r="L80" i="1"/>
  <c r="M80" i="1" s="1"/>
  <c r="L80" i="1" a="1"/>
  <c r="M79" i="1"/>
  <c r="L79" i="1" a="1"/>
  <c r="L79" i="1" s="1"/>
  <c r="L78" i="1" a="1"/>
  <c r="L78" i="1" s="1"/>
  <c r="M78" i="1" s="1"/>
  <c r="L77" i="1"/>
  <c r="M77" i="1" s="1"/>
  <c r="L77" i="1" a="1"/>
  <c r="L76" i="1" a="1"/>
  <c r="L76" i="1" s="1"/>
  <c r="M76" i="1" s="1"/>
  <c r="L75" i="1" a="1"/>
  <c r="L75" i="1" s="1"/>
  <c r="M75" i="1" s="1"/>
  <c r="L74" i="1"/>
  <c r="M74" i="1" s="1"/>
  <c r="L74" i="1" a="1"/>
  <c r="L73" i="1" a="1"/>
  <c r="L73" i="1" s="1"/>
  <c r="M73" i="1" s="1"/>
  <c r="M72" i="1"/>
  <c r="L72" i="1"/>
  <c r="L72" i="1" a="1"/>
  <c r="M71" i="1"/>
  <c r="L71" i="1" a="1"/>
  <c r="L71" i="1" s="1"/>
  <c r="L70" i="1" a="1"/>
  <c r="L70" i="1" s="1"/>
  <c r="M70" i="1" s="1"/>
  <c r="L69" i="1"/>
  <c r="M69" i="1" s="1"/>
  <c r="L69" i="1" a="1"/>
  <c r="M68" i="1"/>
  <c r="L68" i="1"/>
  <c r="L68" i="1" a="1"/>
  <c r="L67" i="1" a="1"/>
  <c r="L67" i="1" s="1"/>
  <c r="M67" i="1" s="1"/>
  <c r="L66" i="1"/>
  <c r="M66" i="1" s="1"/>
  <c r="L66" i="1" a="1"/>
  <c r="L65" i="1" a="1"/>
  <c r="L65" i="1" s="1"/>
  <c r="M65" i="1" s="1"/>
  <c r="L64" i="1"/>
  <c r="M64" i="1" s="1"/>
  <c r="L64" i="1" a="1"/>
  <c r="M63" i="1"/>
  <c r="L63" i="1" a="1"/>
  <c r="L63" i="1" s="1"/>
  <c r="L62" i="1" a="1"/>
  <c r="L62" i="1" s="1"/>
  <c r="M62" i="1" s="1"/>
  <c r="L61" i="1"/>
  <c r="M61" i="1" s="1"/>
  <c r="L61" i="1" a="1"/>
  <c r="L60" i="1" a="1"/>
  <c r="L60" i="1" s="1"/>
  <c r="M60" i="1" s="1"/>
  <c r="M59" i="1"/>
  <c r="L59" i="1" a="1"/>
  <c r="L59" i="1" s="1"/>
  <c r="L58" i="1"/>
  <c r="M58" i="1" s="1"/>
  <c r="L58" i="1" a="1"/>
  <c r="L57" i="1" a="1"/>
  <c r="L57" i="1" s="1"/>
  <c r="M57" i="1" s="1"/>
  <c r="L56" i="1"/>
  <c r="M56" i="1" s="1"/>
  <c r="L56" i="1" a="1"/>
  <c r="M55" i="1"/>
  <c r="L55" i="1" a="1"/>
  <c r="L55" i="1" s="1"/>
  <c r="L54" i="1" a="1"/>
  <c r="L54" i="1" s="1"/>
  <c r="M54" i="1" s="1"/>
  <c r="L53" i="1"/>
  <c r="M53" i="1" s="1"/>
  <c r="L53" i="1" a="1"/>
  <c r="L52" i="1" a="1"/>
  <c r="L52" i="1" s="1"/>
  <c r="M52" i="1" s="1"/>
  <c r="L51" i="1" a="1"/>
  <c r="L51" i="1" s="1"/>
  <c r="M51" i="1" s="1"/>
  <c r="M50" i="1"/>
  <c r="L50" i="1"/>
  <c r="L50" i="1" a="1"/>
  <c r="L49" i="1" a="1"/>
  <c r="L49" i="1" s="1"/>
  <c r="M49" i="1" s="1"/>
  <c r="L48" i="1"/>
  <c r="M48" i="1" s="1"/>
  <c r="L48" i="1" a="1"/>
  <c r="M47" i="1"/>
  <c r="L47" i="1" a="1"/>
  <c r="L47" i="1" s="1"/>
  <c r="M46" i="1"/>
  <c r="L46" i="1"/>
  <c r="L46" i="1" a="1"/>
  <c r="L45" i="1"/>
  <c r="M45" i="1" s="1"/>
  <c r="L45" i="1" a="1"/>
  <c r="L44" i="1" a="1"/>
  <c r="L44" i="1" s="1"/>
  <c r="M44" i="1" s="1"/>
  <c r="L43" i="1" a="1"/>
  <c r="L43" i="1" s="1"/>
  <c r="M43" i="1" s="1"/>
  <c r="L42" i="1" a="1"/>
  <c r="L42" i="1" s="1"/>
  <c r="M42" i="1" s="1"/>
  <c r="L41" i="1" a="1"/>
  <c r="L41" i="1" s="1"/>
  <c r="M41" i="1" s="1"/>
  <c r="L40" i="1"/>
  <c r="M40" i="1" s="1"/>
  <c r="L40" i="1" a="1"/>
  <c r="M39" i="1"/>
  <c r="L39" i="1" a="1"/>
  <c r="L39" i="1" s="1"/>
  <c r="L38" i="1" a="1"/>
  <c r="L38" i="1" s="1"/>
  <c r="M38" i="1" s="1"/>
  <c r="M37" i="1"/>
  <c r="L37" i="1"/>
  <c r="L37" i="1" a="1"/>
  <c r="L36" i="1" a="1"/>
  <c r="L36" i="1" s="1"/>
  <c r="M36" i="1" s="1"/>
  <c r="L35" i="1" a="1"/>
  <c r="L35" i="1" s="1"/>
  <c r="M35" i="1" s="1"/>
  <c r="L34" i="1"/>
  <c r="M34" i="1" s="1"/>
  <c r="L34" i="1" a="1"/>
  <c r="M33" i="1"/>
  <c r="L33" i="1"/>
  <c r="L33" i="1" a="1"/>
  <c r="L32" i="1"/>
  <c r="M32" i="1" s="1"/>
  <c r="L32" i="1" a="1"/>
  <c r="M31" i="1"/>
  <c r="L31" i="1" a="1"/>
  <c r="L31" i="1" s="1"/>
  <c r="L30" i="1" a="1"/>
  <c r="L30" i="1" s="1"/>
  <c r="M30" i="1" s="1"/>
  <c r="L29" i="1" a="1"/>
  <c r="L29" i="1" s="1"/>
  <c r="M29" i="1" s="1"/>
  <c r="L28" i="1" a="1"/>
  <c r="L28" i="1" s="1"/>
  <c r="M28" i="1" s="1"/>
  <c r="L27" i="1" a="1"/>
  <c r="L27" i="1" s="1"/>
  <c r="M27" i="1" s="1"/>
  <c r="L26" i="1"/>
  <c r="M26" i="1" s="1"/>
  <c r="L26" i="1" a="1"/>
  <c r="L25" i="1" a="1"/>
  <c r="L25" i="1" s="1"/>
  <c r="M25" i="1" s="1"/>
  <c r="M24" i="1"/>
  <c r="L24" i="1"/>
  <c r="L24" i="1" a="1"/>
  <c r="M23" i="1"/>
  <c r="L23" i="1" a="1"/>
  <c r="L23" i="1" s="1"/>
  <c r="L22" i="1" a="1"/>
  <c r="L22" i="1" s="1"/>
  <c r="M22" i="1" s="1"/>
  <c r="L21" i="1"/>
  <c r="M21" i="1" s="1"/>
  <c r="L21" i="1" a="1"/>
  <c r="L20" i="1"/>
  <c r="M20" i="1" s="1"/>
  <c r="L20" i="1" a="1"/>
  <c r="L19" i="1" a="1"/>
  <c r="L19" i="1" s="1"/>
  <c r="M19" i="1" s="1"/>
  <c r="L18" i="1"/>
  <c r="M18" i="1" s="1"/>
  <c r="L18" i="1" a="1"/>
  <c r="L17" i="1" a="1"/>
  <c r="L17" i="1" s="1"/>
  <c r="M17" i="1" s="1"/>
  <c r="L16" i="1" a="1"/>
  <c r="L16" i="1" s="1"/>
  <c r="M16" i="1" s="1"/>
  <c r="M15" i="1"/>
  <c r="L15" i="1" a="1"/>
  <c r="L15" i="1" s="1"/>
  <c r="L14" i="1" a="1"/>
  <c r="L14" i="1" s="1"/>
  <c r="M14" i="1" s="1"/>
  <c r="L13" i="1"/>
  <c r="M13" i="1" s="1"/>
  <c r="L13" i="1" a="1"/>
  <c r="L12" i="1" a="1"/>
  <c r="L12" i="1" s="1"/>
  <c r="M12" i="1" s="1"/>
  <c r="L11" i="1" a="1"/>
  <c r="L11" i="1" s="1"/>
  <c r="M11" i="1" s="1"/>
  <c r="L10" i="1"/>
  <c r="M10" i="1" s="1"/>
  <c r="L10" i="1" a="1"/>
  <c r="L9" i="1" a="1"/>
  <c r="L9" i="1" s="1"/>
  <c r="M9" i="1" s="1"/>
  <c r="L8" i="1"/>
  <c r="M8" i="1" s="1"/>
  <c r="L8" i="1" a="1"/>
  <c r="L7" i="1" a="1"/>
  <c r="L7" i="1" s="1"/>
  <c r="M7" i="1" s="1"/>
  <c r="L6" i="1" a="1"/>
  <c r="L6" i="1" s="1"/>
  <c r="M6" i="1" s="1"/>
  <c r="L5" i="1"/>
  <c r="M5" i="1" s="1"/>
  <c r="L5" i="1" a="1"/>
  <c r="L4" i="1" a="1"/>
  <c r="L4" i="1" s="1"/>
  <c r="M4" i="1" s="1"/>
  <c r="L3" i="1" a="1"/>
  <c r="L3" i="1" s="1"/>
  <c r="M3" i="1" s="1"/>
  <c r="L2" i="1"/>
  <c r="M2" i="1" s="1"/>
  <c r="L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<sst xmlns="http://schemas.openxmlformats.org/spreadsheetml/2006/main" count="6021" uniqueCount="1037">
  <si>
    <t>id_establecimiento</t>
  </si>
  <si>
    <t>lugar</t>
  </si>
  <si>
    <t>region</t>
  </si>
  <si>
    <t>tipo_cultivo</t>
  </si>
  <si>
    <t>humedad_suelo_%</t>
  </si>
  <si>
    <t>pH_suelo</t>
  </si>
  <si>
    <t>temperatura_C</t>
  </si>
  <si>
    <t>precipitaciones_mm</t>
  </si>
  <si>
    <t>humedad_%</t>
  </si>
  <si>
    <t>tipo_de_riego</t>
  </si>
  <si>
    <t>Rendimiento_por_hectarea_ton</t>
  </si>
  <si>
    <t>percentil_0,75</t>
  </si>
  <si>
    <t>rendimiento_alto</t>
  </si>
  <si>
    <t>indice_NDVI</t>
  </si>
  <si>
    <t>estado_de_enfermedad_cultivo</t>
  </si>
  <si>
    <t>FARM0001</t>
  </si>
  <si>
    <t>India</t>
  </si>
  <si>
    <t>Norte</t>
  </si>
  <si>
    <t>Trigo</t>
  </si>
  <si>
    <t>Ninguno</t>
  </si>
  <si>
    <t>Moderado</t>
  </si>
  <si>
    <t>FARM0002</t>
  </si>
  <si>
    <t>EE. UU.</t>
  </si>
  <si>
    <t>Sur</t>
  </si>
  <si>
    <t>Soja</t>
  </si>
  <si>
    <t>Aspersor</t>
  </si>
  <si>
    <t>Severo</t>
  </si>
  <si>
    <t>FARM0003</t>
  </si>
  <si>
    <t>Gotero</t>
  </si>
  <si>
    <t>FARM0004</t>
  </si>
  <si>
    <t>Central</t>
  </si>
  <si>
    <t>Maíz</t>
  </si>
  <si>
    <t>FARM0005</t>
  </si>
  <si>
    <t>Algodón</t>
  </si>
  <si>
    <t>FARM0006</t>
  </si>
  <si>
    <t>Arroz</t>
  </si>
  <si>
    <t>FARM0007</t>
  </si>
  <si>
    <t>Manual</t>
  </si>
  <si>
    <t>FARM0008</t>
  </si>
  <si>
    <t>África</t>
  </si>
  <si>
    <t>Este</t>
  </si>
  <si>
    <t>FARM0009</t>
  </si>
  <si>
    <t>FARM0010</t>
  </si>
  <si>
    <t>FARM0011</t>
  </si>
  <si>
    <t>Leve</t>
  </si>
  <si>
    <t>FARM0012</t>
  </si>
  <si>
    <t>FARM0013</t>
  </si>
  <si>
    <t>FARM0014</t>
  </si>
  <si>
    <t>FARM0015</t>
  </si>
  <si>
    <t>FARM0016</t>
  </si>
  <si>
    <t>FARM0017</t>
  </si>
  <si>
    <t>FARM0018</t>
  </si>
  <si>
    <t>FARM0019</t>
  </si>
  <si>
    <t>FARM0020</t>
  </si>
  <si>
    <t>FARM0021</t>
  </si>
  <si>
    <t>FARM0022</t>
  </si>
  <si>
    <t>FARM0023</t>
  </si>
  <si>
    <t>FARM0024</t>
  </si>
  <si>
    <t>FARM0025</t>
  </si>
  <si>
    <t>FARM0026</t>
  </si>
  <si>
    <t>FARM0027</t>
  </si>
  <si>
    <t>FARM0028</t>
  </si>
  <si>
    <t>FARM0029</t>
  </si>
  <si>
    <t>FARM0030</t>
  </si>
  <si>
    <t>FARM0031</t>
  </si>
  <si>
    <t>FARM0032</t>
  </si>
  <si>
    <t>FARM0033</t>
  </si>
  <si>
    <t>FARM0034</t>
  </si>
  <si>
    <t>FARM0035</t>
  </si>
  <si>
    <t>FARM0036</t>
  </si>
  <si>
    <t>FARM0037</t>
  </si>
  <si>
    <t>FARM0038</t>
  </si>
  <si>
    <t>FARM0039</t>
  </si>
  <si>
    <t>FARM0040</t>
  </si>
  <si>
    <t>FARM0041</t>
  </si>
  <si>
    <t>FARM0042</t>
  </si>
  <si>
    <t>FARM0043</t>
  </si>
  <si>
    <t>FARM0044</t>
  </si>
  <si>
    <t>FARM0045</t>
  </si>
  <si>
    <t>FARM0046</t>
  </si>
  <si>
    <t>FARM0047</t>
  </si>
  <si>
    <t>FARM0048</t>
  </si>
  <si>
    <t>FARM0049</t>
  </si>
  <si>
    <t>FARM0050</t>
  </si>
  <si>
    <t>FARM0051</t>
  </si>
  <si>
    <t>FARM0052</t>
  </si>
  <si>
    <t>FARM0053</t>
  </si>
  <si>
    <t>FARM0054</t>
  </si>
  <si>
    <t>FARM0055</t>
  </si>
  <si>
    <t>FARM0056</t>
  </si>
  <si>
    <t>FARM0057</t>
  </si>
  <si>
    <t>FARM0058</t>
  </si>
  <si>
    <t>FARM0059</t>
  </si>
  <si>
    <t>FARM0060</t>
  </si>
  <si>
    <t>FARM0061</t>
  </si>
  <si>
    <t>FARM0062</t>
  </si>
  <si>
    <t>FARM0063</t>
  </si>
  <si>
    <t>FARM0064</t>
  </si>
  <si>
    <t>FARM0065</t>
  </si>
  <si>
    <t>FARM0066</t>
  </si>
  <si>
    <t>FARM0067</t>
  </si>
  <si>
    <t>FARM0068</t>
  </si>
  <si>
    <t>FARM0069</t>
  </si>
  <si>
    <t>FARM0070</t>
  </si>
  <si>
    <t>FARM0071</t>
  </si>
  <si>
    <t>FARM0072</t>
  </si>
  <si>
    <t>FARM0073</t>
  </si>
  <si>
    <t>FARM0074</t>
  </si>
  <si>
    <t>FARM0075</t>
  </si>
  <si>
    <t>FARM0076</t>
  </si>
  <si>
    <t>FARM0077</t>
  </si>
  <si>
    <t>FARM0078</t>
  </si>
  <si>
    <t>FARM0079</t>
  </si>
  <si>
    <t>FARM0080</t>
  </si>
  <si>
    <t>FARM0081</t>
  </si>
  <si>
    <t>FARM0082</t>
  </si>
  <si>
    <t>FARM0083</t>
  </si>
  <si>
    <t>FARM0084</t>
  </si>
  <si>
    <t>FARM0085</t>
  </si>
  <si>
    <t>FARM0086</t>
  </si>
  <si>
    <t>FARM0087</t>
  </si>
  <si>
    <t>FARM0088</t>
  </si>
  <si>
    <t>FARM0089</t>
  </si>
  <si>
    <t>FARM0090</t>
  </si>
  <si>
    <t>FARM0091</t>
  </si>
  <si>
    <t>FARM0092</t>
  </si>
  <si>
    <t>FARM0093</t>
  </si>
  <si>
    <t>FARM0094</t>
  </si>
  <si>
    <t>FARM0095</t>
  </si>
  <si>
    <t>FARM0096</t>
  </si>
  <si>
    <t>FARM0097</t>
  </si>
  <si>
    <t>FARM0098</t>
  </si>
  <si>
    <t>FARM0099</t>
  </si>
  <si>
    <t>FARM0100</t>
  </si>
  <si>
    <t>FARM0101</t>
  </si>
  <si>
    <t>FARM0102</t>
  </si>
  <si>
    <t>FARM0103</t>
  </si>
  <si>
    <t>FARM0104</t>
  </si>
  <si>
    <t>FARM0105</t>
  </si>
  <si>
    <t>FARM0106</t>
  </si>
  <si>
    <t>FARM0107</t>
  </si>
  <si>
    <t>FARM0108</t>
  </si>
  <si>
    <t>FARM0109</t>
  </si>
  <si>
    <t>FARM0110</t>
  </si>
  <si>
    <t>FARM0111</t>
  </si>
  <si>
    <t>FARM0112</t>
  </si>
  <si>
    <t>FARM0113</t>
  </si>
  <si>
    <t>FARM0114</t>
  </si>
  <si>
    <t>FARM0115</t>
  </si>
  <si>
    <t>FARM0116</t>
  </si>
  <si>
    <t>FARM0117</t>
  </si>
  <si>
    <t>FARM0118</t>
  </si>
  <si>
    <t>FARM0119</t>
  </si>
  <si>
    <t>FARM0120</t>
  </si>
  <si>
    <t>FARM0121</t>
  </si>
  <si>
    <t>FARM0122</t>
  </si>
  <si>
    <t>FARM0123</t>
  </si>
  <si>
    <t>FARM0124</t>
  </si>
  <si>
    <t>FARM0125</t>
  </si>
  <si>
    <t>FARM0126</t>
  </si>
  <si>
    <t>FARM0127</t>
  </si>
  <si>
    <t>FARM0128</t>
  </si>
  <si>
    <t>FARM0129</t>
  </si>
  <si>
    <t>FARM0130</t>
  </si>
  <si>
    <t>FARM0131</t>
  </si>
  <si>
    <t>FARM0132</t>
  </si>
  <si>
    <t>FARM0133</t>
  </si>
  <si>
    <t>FARM0134</t>
  </si>
  <si>
    <t>FARM0135</t>
  </si>
  <si>
    <t>FARM0136</t>
  </si>
  <si>
    <t>FARM0137</t>
  </si>
  <si>
    <t>FARM0138</t>
  </si>
  <si>
    <t>FARM0139</t>
  </si>
  <si>
    <t>FARM0140</t>
  </si>
  <si>
    <t>FARM0141</t>
  </si>
  <si>
    <t>FARM0142</t>
  </si>
  <si>
    <t>FARM0143</t>
  </si>
  <si>
    <t>FARM0144</t>
  </si>
  <si>
    <t>FARM0145</t>
  </si>
  <si>
    <t>FARM0146</t>
  </si>
  <si>
    <t>FARM0147</t>
  </si>
  <si>
    <t>FARM0148</t>
  </si>
  <si>
    <t>FARM0149</t>
  </si>
  <si>
    <t>FARM0150</t>
  </si>
  <si>
    <t>FARM0151</t>
  </si>
  <si>
    <t>FARM0152</t>
  </si>
  <si>
    <t>FARM0153</t>
  </si>
  <si>
    <t>FARM0154</t>
  </si>
  <si>
    <t>FARM0155</t>
  </si>
  <si>
    <t>FARM0156</t>
  </si>
  <si>
    <t>FARM0157</t>
  </si>
  <si>
    <t>FARM0158</t>
  </si>
  <si>
    <t>FARM0159</t>
  </si>
  <si>
    <t>FARM0160</t>
  </si>
  <si>
    <t>FARM0161</t>
  </si>
  <si>
    <t>FARM0162</t>
  </si>
  <si>
    <t>FARM0163</t>
  </si>
  <si>
    <t>FARM0164</t>
  </si>
  <si>
    <t>FARM0165</t>
  </si>
  <si>
    <t>FARM0166</t>
  </si>
  <si>
    <t>FARM0167</t>
  </si>
  <si>
    <t>FARM0168</t>
  </si>
  <si>
    <t>FARM0169</t>
  </si>
  <si>
    <t>FARM0170</t>
  </si>
  <si>
    <t>FARM0171</t>
  </si>
  <si>
    <t>FARM0172</t>
  </si>
  <si>
    <t>FARM0173</t>
  </si>
  <si>
    <t>FARM0174</t>
  </si>
  <si>
    <t>FARM0175</t>
  </si>
  <si>
    <t>FARM0176</t>
  </si>
  <si>
    <t>FARM0177</t>
  </si>
  <si>
    <t>FARM0178</t>
  </si>
  <si>
    <t>FARM0179</t>
  </si>
  <si>
    <t>FARM0180</t>
  </si>
  <si>
    <t>FARM0181</t>
  </si>
  <si>
    <t>FARM0182</t>
  </si>
  <si>
    <t>FARM0183</t>
  </si>
  <si>
    <t>FARM0184</t>
  </si>
  <si>
    <t>FARM0185</t>
  </si>
  <si>
    <t>FARM0186</t>
  </si>
  <si>
    <t>FARM0187</t>
  </si>
  <si>
    <t>FARM0188</t>
  </si>
  <si>
    <t>FARM0189</t>
  </si>
  <si>
    <t>FARM0190</t>
  </si>
  <si>
    <t>FARM0191</t>
  </si>
  <si>
    <t>FARM0192</t>
  </si>
  <si>
    <t>FARM0193</t>
  </si>
  <si>
    <t>FARM0194</t>
  </si>
  <si>
    <t>FARM0195</t>
  </si>
  <si>
    <t>FARM0196</t>
  </si>
  <si>
    <t>FARM0197</t>
  </si>
  <si>
    <t>FARM0198</t>
  </si>
  <si>
    <t>FARM0199</t>
  </si>
  <si>
    <t>FARM0200</t>
  </si>
  <si>
    <t>FARM0201</t>
  </si>
  <si>
    <t>FARM0202</t>
  </si>
  <si>
    <t>FARM0203</t>
  </si>
  <si>
    <t>FARM0204</t>
  </si>
  <si>
    <t>FARM0205</t>
  </si>
  <si>
    <t>FARM0206</t>
  </si>
  <si>
    <t>FARM0207</t>
  </si>
  <si>
    <t>FARM0208</t>
  </si>
  <si>
    <t>FARM0209</t>
  </si>
  <si>
    <t>FARM0210</t>
  </si>
  <si>
    <t>FARM0211</t>
  </si>
  <si>
    <t>FARM0212</t>
  </si>
  <si>
    <t>FARM0213</t>
  </si>
  <si>
    <t>FARM0214</t>
  </si>
  <si>
    <t>FARM0215</t>
  </si>
  <si>
    <t>FARM0216</t>
  </si>
  <si>
    <t>FARM0217</t>
  </si>
  <si>
    <t>FARM0218</t>
  </si>
  <si>
    <t>FARM0219</t>
  </si>
  <si>
    <t>FARM0220</t>
  </si>
  <si>
    <t>FARM0221</t>
  </si>
  <si>
    <t>FARM0222</t>
  </si>
  <si>
    <t>FARM0223</t>
  </si>
  <si>
    <t>FARM0224</t>
  </si>
  <si>
    <t>FARM0225</t>
  </si>
  <si>
    <t>FARM0226</t>
  </si>
  <si>
    <t>FARM0227</t>
  </si>
  <si>
    <t>FARM0228</t>
  </si>
  <si>
    <t>FARM0229</t>
  </si>
  <si>
    <t>FARM0230</t>
  </si>
  <si>
    <t>FARM0231</t>
  </si>
  <si>
    <t>FARM0232</t>
  </si>
  <si>
    <t>FARM0233</t>
  </si>
  <si>
    <t>FARM0234</t>
  </si>
  <si>
    <t>FARM0235</t>
  </si>
  <si>
    <t>FARM0236</t>
  </si>
  <si>
    <t>FARM0237</t>
  </si>
  <si>
    <t>FARM0238</t>
  </si>
  <si>
    <t>FARM0239</t>
  </si>
  <si>
    <t>FARM0240</t>
  </si>
  <si>
    <t>FARM0241</t>
  </si>
  <si>
    <t>FARM0242</t>
  </si>
  <si>
    <t>FARM0243</t>
  </si>
  <si>
    <t>FARM0244</t>
  </si>
  <si>
    <t>FARM0245</t>
  </si>
  <si>
    <t>FARM0246</t>
  </si>
  <si>
    <t>FARM0247</t>
  </si>
  <si>
    <t>FARM0248</t>
  </si>
  <si>
    <t>FARM0249</t>
  </si>
  <si>
    <t>FARM0250</t>
  </si>
  <si>
    <t>FARM0251</t>
  </si>
  <si>
    <t>FARM0252</t>
  </si>
  <si>
    <t>FARM0253</t>
  </si>
  <si>
    <t>FARM0254</t>
  </si>
  <si>
    <t>FARM0255</t>
  </si>
  <si>
    <t>FARM0256</t>
  </si>
  <si>
    <t>FARM0257</t>
  </si>
  <si>
    <t>FARM0258</t>
  </si>
  <si>
    <t>FARM0259</t>
  </si>
  <si>
    <t>FARM0260</t>
  </si>
  <si>
    <t>FARM0261</t>
  </si>
  <si>
    <t>FARM0262</t>
  </si>
  <si>
    <t>FARM0263</t>
  </si>
  <si>
    <t>FARM0264</t>
  </si>
  <si>
    <t>FARM0265</t>
  </si>
  <si>
    <t>FARM0266</t>
  </si>
  <si>
    <t>FARM0267</t>
  </si>
  <si>
    <t>FARM0268</t>
  </si>
  <si>
    <t>FARM0269</t>
  </si>
  <si>
    <t>FARM0270</t>
  </si>
  <si>
    <t>FARM0271</t>
  </si>
  <si>
    <t>FARM0272</t>
  </si>
  <si>
    <t>FARM0273</t>
  </si>
  <si>
    <t>FARM0274</t>
  </si>
  <si>
    <t>FARM0275</t>
  </si>
  <si>
    <t>FARM0276</t>
  </si>
  <si>
    <t>FARM0277</t>
  </si>
  <si>
    <t>FARM0278</t>
  </si>
  <si>
    <t>FARM0279</t>
  </si>
  <si>
    <t>FARM0280</t>
  </si>
  <si>
    <t>FARM0281</t>
  </si>
  <si>
    <t>FARM0282</t>
  </si>
  <si>
    <t>FARM0283</t>
  </si>
  <si>
    <t>FARM0284</t>
  </si>
  <si>
    <t>FARM0285</t>
  </si>
  <si>
    <t>FARM0286</t>
  </si>
  <si>
    <t>FARM0287</t>
  </si>
  <si>
    <t>FARM0288</t>
  </si>
  <si>
    <t>FARM0289</t>
  </si>
  <si>
    <t>FARM0290</t>
  </si>
  <si>
    <t>FARM0291</t>
  </si>
  <si>
    <t>FARM0292</t>
  </si>
  <si>
    <t>FARM0293</t>
  </si>
  <si>
    <t>FARM0294</t>
  </si>
  <si>
    <t>FARM0295</t>
  </si>
  <si>
    <t>FARM0296</t>
  </si>
  <si>
    <t>FARM0297</t>
  </si>
  <si>
    <t>FARM0298</t>
  </si>
  <si>
    <t>FARM0299</t>
  </si>
  <si>
    <t>FARM0300</t>
  </si>
  <si>
    <t>FARM0301</t>
  </si>
  <si>
    <t>FARM0302</t>
  </si>
  <si>
    <t>FARM0303</t>
  </si>
  <si>
    <t>FARM0304</t>
  </si>
  <si>
    <t>FARM0305</t>
  </si>
  <si>
    <t>FARM0306</t>
  </si>
  <si>
    <t>FARM0307</t>
  </si>
  <si>
    <t>FARM0308</t>
  </si>
  <si>
    <t>FARM0309</t>
  </si>
  <si>
    <t>FARM0310</t>
  </si>
  <si>
    <t>FARM0311</t>
  </si>
  <si>
    <t>FARM0312</t>
  </si>
  <si>
    <t>FARM0313</t>
  </si>
  <si>
    <t>FARM0314</t>
  </si>
  <si>
    <t>FARM0315</t>
  </si>
  <si>
    <t>FARM0316</t>
  </si>
  <si>
    <t>FARM0317</t>
  </si>
  <si>
    <t>FARM0318</t>
  </si>
  <si>
    <t>FARM0319</t>
  </si>
  <si>
    <t>FARM0320</t>
  </si>
  <si>
    <t>FARM0321</t>
  </si>
  <si>
    <t>FARM0322</t>
  </si>
  <si>
    <t>FARM0323</t>
  </si>
  <si>
    <t>FARM0324</t>
  </si>
  <si>
    <t>FARM0325</t>
  </si>
  <si>
    <t>FARM0326</t>
  </si>
  <si>
    <t>FARM0327</t>
  </si>
  <si>
    <t>FARM0328</t>
  </si>
  <si>
    <t>FARM0329</t>
  </si>
  <si>
    <t>FARM0330</t>
  </si>
  <si>
    <t>FARM0331</t>
  </si>
  <si>
    <t>FARM0332</t>
  </si>
  <si>
    <t>FARM0333</t>
  </si>
  <si>
    <t>FARM0334</t>
  </si>
  <si>
    <t>FARM0335</t>
  </si>
  <si>
    <t>FARM0336</t>
  </si>
  <si>
    <t>FARM0337</t>
  </si>
  <si>
    <t>FARM0338</t>
  </si>
  <si>
    <t>FARM0339</t>
  </si>
  <si>
    <t>FARM0340</t>
  </si>
  <si>
    <t>FARM0341</t>
  </si>
  <si>
    <t>FARM0342</t>
  </si>
  <si>
    <t>FARM0343</t>
  </si>
  <si>
    <t>FARM0344</t>
  </si>
  <si>
    <t>FARM0345</t>
  </si>
  <si>
    <t>FARM0346</t>
  </si>
  <si>
    <t>FARM0347</t>
  </si>
  <si>
    <t>FARM0348</t>
  </si>
  <si>
    <t>FARM0349</t>
  </si>
  <si>
    <t>FARM0350</t>
  </si>
  <si>
    <t>FARM0351</t>
  </si>
  <si>
    <t>FARM0352</t>
  </si>
  <si>
    <t>FARM0353</t>
  </si>
  <si>
    <t>FARM0354</t>
  </si>
  <si>
    <t>FARM0355</t>
  </si>
  <si>
    <t>FARM0356</t>
  </si>
  <si>
    <t>FARM0357</t>
  </si>
  <si>
    <t>FARM0358</t>
  </si>
  <si>
    <t>FARM0359</t>
  </si>
  <si>
    <t>FARM0360</t>
  </si>
  <si>
    <t>FARM0361</t>
  </si>
  <si>
    <t>FARM0362</t>
  </si>
  <si>
    <t>FARM0363</t>
  </si>
  <si>
    <t>FARM0364</t>
  </si>
  <si>
    <t>FARM0365</t>
  </si>
  <si>
    <t>FARM0366</t>
  </si>
  <si>
    <t>FARM0367</t>
  </si>
  <si>
    <t>FARM0368</t>
  </si>
  <si>
    <t>FARM0369</t>
  </si>
  <si>
    <t>FARM0370</t>
  </si>
  <si>
    <t>FARM0371</t>
  </si>
  <si>
    <t>FARM0372</t>
  </si>
  <si>
    <t>FARM0373</t>
  </si>
  <si>
    <t>FARM0374</t>
  </si>
  <si>
    <t>FARM0375</t>
  </si>
  <si>
    <t>FARM0376</t>
  </si>
  <si>
    <t>FARM0377</t>
  </si>
  <si>
    <t>FARM0378</t>
  </si>
  <si>
    <t>FARM0379</t>
  </si>
  <si>
    <t>FARM0380</t>
  </si>
  <si>
    <t>FARM0381</t>
  </si>
  <si>
    <t>FARM0382</t>
  </si>
  <si>
    <t>FARM0383</t>
  </si>
  <si>
    <t>FARM0384</t>
  </si>
  <si>
    <t>FARM0385</t>
  </si>
  <si>
    <t>FARM0386</t>
  </si>
  <si>
    <t>FARM0387</t>
  </si>
  <si>
    <t>FARM0388</t>
  </si>
  <si>
    <t>FARM0389</t>
  </si>
  <si>
    <t>FARM0390</t>
  </si>
  <si>
    <t>FARM0391</t>
  </si>
  <si>
    <t>FARM0392</t>
  </si>
  <si>
    <t>FARM0393</t>
  </si>
  <si>
    <t>FARM0394</t>
  </si>
  <si>
    <t>FARM0395</t>
  </si>
  <si>
    <t>FARM0396</t>
  </si>
  <si>
    <t>FARM0397</t>
  </si>
  <si>
    <t>FARM0398</t>
  </si>
  <si>
    <t>FARM0399</t>
  </si>
  <si>
    <t>FARM0400</t>
  </si>
  <si>
    <t>FARM0401</t>
  </si>
  <si>
    <t>FARM0402</t>
  </si>
  <si>
    <t>FARM0403</t>
  </si>
  <si>
    <t>FARM0404</t>
  </si>
  <si>
    <t>FARM0405</t>
  </si>
  <si>
    <t>FARM0406</t>
  </si>
  <si>
    <t>FARM0407</t>
  </si>
  <si>
    <t>FARM0408</t>
  </si>
  <si>
    <t>FARM0409</t>
  </si>
  <si>
    <t>FARM0410</t>
  </si>
  <si>
    <t>FARM0411</t>
  </si>
  <si>
    <t>FARM0412</t>
  </si>
  <si>
    <t>FARM0413</t>
  </si>
  <si>
    <t>FARM0414</t>
  </si>
  <si>
    <t>FARM0415</t>
  </si>
  <si>
    <t>FARM0416</t>
  </si>
  <si>
    <t>FARM0417</t>
  </si>
  <si>
    <t>FARM0418</t>
  </si>
  <si>
    <t>FARM0419</t>
  </si>
  <si>
    <t>FARM0420</t>
  </si>
  <si>
    <t>FARM0421</t>
  </si>
  <si>
    <t>FARM0422</t>
  </si>
  <si>
    <t>FARM0423</t>
  </si>
  <si>
    <t>FARM0424</t>
  </si>
  <si>
    <t>FARM0425</t>
  </si>
  <si>
    <t>FARM0426</t>
  </si>
  <si>
    <t>FARM0427</t>
  </si>
  <si>
    <t>FARM0428</t>
  </si>
  <si>
    <t>FARM0429</t>
  </si>
  <si>
    <t>FARM0430</t>
  </si>
  <si>
    <t>FARM0431</t>
  </si>
  <si>
    <t>FARM0432</t>
  </si>
  <si>
    <t>FARM0433</t>
  </si>
  <si>
    <t>FARM0434</t>
  </si>
  <si>
    <t>FARM0435</t>
  </si>
  <si>
    <t>FARM0436</t>
  </si>
  <si>
    <t>FARM0437</t>
  </si>
  <si>
    <t>FARM0438</t>
  </si>
  <si>
    <t>FARM0439</t>
  </si>
  <si>
    <t>FARM0440</t>
  </si>
  <si>
    <t>FARM0441</t>
  </si>
  <si>
    <t>FARM0442</t>
  </si>
  <si>
    <t>FARM0443</t>
  </si>
  <si>
    <t>FARM0444</t>
  </si>
  <si>
    <t>FARM0445</t>
  </si>
  <si>
    <t>FARM0446</t>
  </si>
  <si>
    <t>FARM0447</t>
  </si>
  <si>
    <t>FARM0448</t>
  </si>
  <si>
    <t>FARM0449</t>
  </si>
  <si>
    <t>FARM0450</t>
  </si>
  <si>
    <t>FARM0451</t>
  </si>
  <si>
    <t>FARM0452</t>
  </si>
  <si>
    <t>FARM0453</t>
  </si>
  <si>
    <t>FARM0454</t>
  </si>
  <si>
    <t>FARM0455</t>
  </si>
  <si>
    <t>FARM0456</t>
  </si>
  <si>
    <t>FARM0457</t>
  </si>
  <si>
    <t>FARM0458</t>
  </si>
  <si>
    <t>FARM0459</t>
  </si>
  <si>
    <t>FARM0460</t>
  </si>
  <si>
    <t>FARM0461</t>
  </si>
  <si>
    <t>FARM0462</t>
  </si>
  <si>
    <t>FARM0463</t>
  </si>
  <si>
    <t>FARM0464</t>
  </si>
  <si>
    <t>FARM0465</t>
  </si>
  <si>
    <t>FARM0466</t>
  </si>
  <si>
    <t>FARM0467</t>
  </si>
  <si>
    <t>FARM0468</t>
  </si>
  <si>
    <t>FARM0469</t>
  </si>
  <si>
    <t>FARM0470</t>
  </si>
  <si>
    <t>FARM0471</t>
  </si>
  <si>
    <t>FARM0472</t>
  </si>
  <si>
    <t>FARM0473</t>
  </si>
  <si>
    <t>FARM0474</t>
  </si>
  <si>
    <t>FARM0475</t>
  </si>
  <si>
    <t>FARM0476</t>
  </si>
  <si>
    <t>FARM0477</t>
  </si>
  <si>
    <t>FARM0478</t>
  </si>
  <si>
    <t>FARM0479</t>
  </si>
  <si>
    <t>FARM0480</t>
  </si>
  <si>
    <t>FARM0481</t>
  </si>
  <si>
    <t>FARM0482</t>
  </si>
  <si>
    <t>FARM0483</t>
  </si>
  <si>
    <t>FARM0484</t>
  </si>
  <si>
    <t>FARM0485</t>
  </si>
  <si>
    <t>FARM0486</t>
  </si>
  <si>
    <t>FARM0487</t>
  </si>
  <si>
    <t>FARM0488</t>
  </si>
  <si>
    <t>FARM0489</t>
  </si>
  <si>
    <t>FARM0490</t>
  </si>
  <si>
    <t>FARM0491</t>
  </si>
  <si>
    <t>FARM0492</t>
  </si>
  <si>
    <t>FARM0493</t>
  </si>
  <si>
    <t>FARM0494</t>
  </si>
  <si>
    <t>FARM0495</t>
  </si>
  <si>
    <t>FARM0496</t>
  </si>
  <si>
    <t>FARM0497</t>
  </si>
  <si>
    <t>FARM0498</t>
  </si>
  <si>
    <t>FARM0499</t>
  </si>
  <si>
    <t>FARM0500</t>
  </si>
  <si>
    <t>FARM1000</t>
  </si>
  <si>
    <t>FARM1001</t>
  </si>
  <si>
    <t>FARM1002</t>
  </si>
  <si>
    <t>FARM1003</t>
  </si>
  <si>
    <t>FARM1004</t>
  </si>
  <si>
    <t>FARM1005</t>
  </si>
  <si>
    <t>FARM1006</t>
  </si>
  <si>
    <t>FARM1007</t>
  </si>
  <si>
    <t>FARM1008</t>
  </si>
  <si>
    <t>FARM1009</t>
  </si>
  <si>
    <t>Brasil</t>
  </si>
  <si>
    <t>FARM1010</t>
  </si>
  <si>
    <t>FARM1011</t>
  </si>
  <si>
    <t>Cebada</t>
  </si>
  <si>
    <t>FARM1012</t>
  </si>
  <si>
    <t>FARM1013</t>
  </si>
  <si>
    <t>FARM1014</t>
  </si>
  <si>
    <t>FARM1015</t>
  </si>
  <si>
    <t>FARM1016</t>
  </si>
  <si>
    <t>FARM1017</t>
  </si>
  <si>
    <t>FARM1018</t>
  </si>
  <si>
    <t>FARM1019</t>
  </si>
  <si>
    <t>FARM1020</t>
  </si>
  <si>
    <t>FARM1021</t>
  </si>
  <si>
    <t>FARM1022</t>
  </si>
  <si>
    <t>FARM1023</t>
  </si>
  <si>
    <t>FARM1024</t>
  </si>
  <si>
    <t>FARM1025</t>
  </si>
  <si>
    <t>FARM1026</t>
  </si>
  <si>
    <t>FARM1027</t>
  </si>
  <si>
    <t>FARM1028</t>
  </si>
  <si>
    <t>FARM1029</t>
  </si>
  <si>
    <t>FARM1030</t>
  </si>
  <si>
    <t>FARM1031</t>
  </si>
  <si>
    <t>FARM1032</t>
  </si>
  <si>
    <t>FARM1033</t>
  </si>
  <si>
    <t>FARM1034</t>
  </si>
  <si>
    <t>FARM1035</t>
  </si>
  <si>
    <t>FARM1036</t>
  </si>
  <si>
    <t>FARM1037</t>
  </si>
  <si>
    <t>FARM1038</t>
  </si>
  <si>
    <t>FARM1039</t>
  </si>
  <si>
    <t>FARM1040</t>
  </si>
  <si>
    <t>FARM1041</t>
  </si>
  <si>
    <t>FARM1042</t>
  </si>
  <si>
    <t>FARM1043</t>
  </si>
  <si>
    <t>FARM1044</t>
  </si>
  <si>
    <t>FARM1045</t>
  </si>
  <si>
    <t>FARM1046</t>
  </si>
  <si>
    <t>FARM1047</t>
  </si>
  <si>
    <t>FARM1048</t>
  </si>
  <si>
    <t>FARM1049</t>
  </si>
  <si>
    <t>FARM1050</t>
  </si>
  <si>
    <t>FARM1051</t>
  </si>
  <si>
    <t>FARM1052</t>
  </si>
  <si>
    <t>FARM1053</t>
  </si>
  <si>
    <t>FARM1054</t>
  </si>
  <si>
    <t>FARM1055</t>
  </si>
  <si>
    <t>FARM1056</t>
  </si>
  <si>
    <t>FARM1057</t>
  </si>
  <si>
    <t>FARM1058</t>
  </si>
  <si>
    <t>FARM1059</t>
  </si>
  <si>
    <t>FARM1060</t>
  </si>
  <si>
    <t>FARM1061</t>
  </si>
  <si>
    <t>FARM1062</t>
  </si>
  <si>
    <t>FARM1063</t>
  </si>
  <si>
    <t>FARM1064</t>
  </si>
  <si>
    <t>FARM1065</t>
  </si>
  <si>
    <t>FARM1066</t>
  </si>
  <si>
    <t>FARM1067</t>
  </si>
  <si>
    <t>FARM1068</t>
  </si>
  <si>
    <t>FARM1069</t>
  </si>
  <si>
    <t>FARM1070</t>
  </si>
  <si>
    <t>FARM1071</t>
  </si>
  <si>
    <t>FARM1072</t>
  </si>
  <si>
    <t>FARM1073</t>
  </si>
  <si>
    <t>FARM1074</t>
  </si>
  <si>
    <t>FARM1075</t>
  </si>
  <si>
    <t>FARM1076</t>
  </si>
  <si>
    <t>FARM1077</t>
  </si>
  <si>
    <t>FARM1078</t>
  </si>
  <si>
    <t>FARM1079</t>
  </si>
  <si>
    <t>FARM1080</t>
  </si>
  <si>
    <t>FARM1081</t>
  </si>
  <si>
    <t>FARM1082</t>
  </si>
  <si>
    <t>FARM1083</t>
  </si>
  <si>
    <t>FARM1084</t>
  </si>
  <si>
    <t>FARM1085</t>
  </si>
  <si>
    <t>FARM1086</t>
  </si>
  <si>
    <t>FARM1087</t>
  </si>
  <si>
    <t>FARM1088</t>
  </si>
  <si>
    <t>FARM1089</t>
  </si>
  <si>
    <t>FARM1090</t>
  </si>
  <si>
    <t>FARM1091</t>
  </si>
  <si>
    <t>FARM1092</t>
  </si>
  <si>
    <t>FARM1093</t>
  </si>
  <si>
    <t>FARM1094</t>
  </si>
  <si>
    <t>FARM1095</t>
  </si>
  <si>
    <t>FARM1096</t>
  </si>
  <si>
    <t>FARM1097</t>
  </si>
  <si>
    <t>FARM1098</t>
  </si>
  <si>
    <t>FARM1099</t>
  </si>
  <si>
    <t>FARM1100</t>
  </si>
  <si>
    <t>FARM1101</t>
  </si>
  <si>
    <t>FARM1102</t>
  </si>
  <si>
    <t>FARM1103</t>
  </si>
  <si>
    <t>FARM1104</t>
  </si>
  <si>
    <t>FARM1105</t>
  </si>
  <si>
    <t>FARM1106</t>
  </si>
  <si>
    <t>FARM1107</t>
  </si>
  <si>
    <t>FARM1108</t>
  </si>
  <si>
    <t>FARM1109</t>
  </si>
  <si>
    <t>FARM1110</t>
  </si>
  <si>
    <t>FARM1111</t>
  </si>
  <si>
    <t>FARM1112</t>
  </si>
  <si>
    <t>FARM1113</t>
  </si>
  <si>
    <t>FARM1114</t>
  </si>
  <si>
    <t>FARM1115</t>
  </si>
  <si>
    <t>FARM1116</t>
  </si>
  <si>
    <t>FARM1117</t>
  </si>
  <si>
    <t>FARM1118</t>
  </si>
  <si>
    <t>FARM1119</t>
  </si>
  <si>
    <t>FARM1120</t>
  </si>
  <si>
    <t>FARM1121</t>
  </si>
  <si>
    <t>FARM1122</t>
  </si>
  <si>
    <t>FARM1123</t>
  </si>
  <si>
    <t>FARM1124</t>
  </si>
  <si>
    <t>FARM1125</t>
  </si>
  <si>
    <t>FARM1126</t>
  </si>
  <si>
    <t>FARM1127</t>
  </si>
  <si>
    <t>FARM1128</t>
  </si>
  <si>
    <t>FARM1129</t>
  </si>
  <si>
    <t>FARM1130</t>
  </si>
  <si>
    <t>FARM1131</t>
  </si>
  <si>
    <t>FARM1132</t>
  </si>
  <si>
    <t>FARM1133</t>
  </si>
  <si>
    <t>FARM1134</t>
  </si>
  <si>
    <t>FARM1135</t>
  </si>
  <si>
    <t>FARM1136</t>
  </si>
  <si>
    <t>FARM1137</t>
  </si>
  <si>
    <t>FARM1138</t>
  </si>
  <si>
    <t>FARM1139</t>
  </si>
  <si>
    <t>FARM1140</t>
  </si>
  <si>
    <t>FARM1141</t>
  </si>
  <si>
    <t>FARM1142</t>
  </si>
  <si>
    <t>FARM1143</t>
  </si>
  <si>
    <t>FARM1144</t>
  </si>
  <si>
    <t>FARM1145</t>
  </si>
  <si>
    <t>FARM1146</t>
  </si>
  <si>
    <t>FARM1147</t>
  </si>
  <si>
    <t>FARM1148</t>
  </si>
  <si>
    <t>FARM1149</t>
  </si>
  <si>
    <t>FARM1150</t>
  </si>
  <si>
    <t>FARM1151</t>
  </si>
  <si>
    <t>FARM1152</t>
  </si>
  <si>
    <t>FARM1153</t>
  </si>
  <si>
    <t>FARM1154</t>
  </si>
  <si>
    <t>FARM1155</t>
  </si>
  <si>
    <t>FARM1156</t>
  </si>
  <si>
    <t>FARM1157</t>
  </si>
  <si>
    <t>FARM1158</t>
  </si>
  <si>
    <t>FARM1159</t>
  </si>
  <si>
    <t>FARM1160</t>
  </si>
  <si>
    <t>FARM1161</t>
  </si>
  <si>
    <t>FARM1162</t>
  </si>
  <si>
    <t>FARM1163</t>
  </si>
  <si>
    <t>FARM1164</t>
  </si>
  <si>
    <t>FARM1165</t>
  </si>
  <si>
    <t>FARM1166</t>
  </si>
  <si>
    <t>FARM1167</t>
  </si>
  <si>
    <t>FARM1168</t>
  </si>
  <si>
    <t>FARM1169</t>
  </si>
  <si>
    <t>FARM1170</t>
  </si>
  <si>
    <t>FARM1171</t>
  </si>
  <si>
    <t>FARM1172</t>
  </si>
  <si>
    <t>FARM1173</t>
  </si>
  <si>
    <t>FARM1174</t>
  </si>
  <si>
    <t>FARM1175</t>
  </si>
  <si>
    <t>FARM1176</t>
  </si>
  <si>
    <t>FARM1177</t>
  </si>
  <si>
    <t>FARM1178</t>
  </si>
  <si>
    <t>FARM1179</t>
  </si>
  <si>
    <t>FARM1180</t>
  </si>
  <si>
    <t>FARM1181</t>
  </si>
  <si>
    <t>FARM1182</t>
  </si>
  <si>
    <t>FARM1183</t>
  </si>
  <si>
    <t>FARM1184</t>
  </si>
  <si>
    <t>FARM1185</t>
  </si>
  <si>
    <t>FARM1186</t>
  </si>
  <si>
    <t>FARM1187</t>
  </si>
  <si>
    <t>FARM1188</t>
  </si>
  <si>
    <t>FARM1189</t>
  </si>
  <si>
    <t>FARM1190</t>
  </si>
  <si>
    <t>FARM1191</t>
  </si>
  <si>
    <t>FARM1192</t>
  </si>
  <si>
    <t>FARM1193</t>
  </si>
  <si>
    <t>FARM1194</t>
  </si>
  <si>
    <t>FARM1195</t>
  </si>
  <si>
    <t>FARM1196</t>
  </si>
  <si>
    <t>FARM1197</t>
  </si>
  <si>
    <t>FARM1198</t>
  </si>
  <si>
    <t>FARM1199</t>
  </si>
  <si>
    <t>FARM1200</t>
  </si>
  <si>
    <t>FARM1201</t>
  </si>
  <si>
    <t>FARM1202</t>
  </si>
  <si>
    <t>FARM1203</t>
  </si>
  <si>
    <t>FARM1204</t>
  </si>
  <si>
    <t>FARM1205</t>
  </si>
  <si>
    <t>FARM1206</t>
  </si>
  <si>
    <t>FARM1207</t>
  </si>
  <si>
    <t>FARM1208</t>
  </si>
  <si>
    <t>FARM1209</t>
  </si>
  <si>
    <t>FARM1210</t>
  </si>
  <si>
    <t>FARM1211</t>
  </si>
  <si>
    <t>FARM1212</t>
  </si>
  <si>
    <t>FARM1213</t>
  </si>
  <si>
    <t>FARM1214</t>
  </si>
  <si>
    <t>FARM1215</t>
  </si>
  <si>
    <t>FARM1216</t>
  </si>
  <si>
    <t>FARM1217</t>
  </si>
  <si>
    <t>FARM1218</t>
  </si>
  <si>
    <t>FARM1219</t>
  </si>
  <si>
    <t>FARM1220</t>
  </si>
  <si>
    <t>FARM1221</t>
  </si>
  <si>
    <t>FARM1222</t>
  </si>
  <si>
    <t>FARM1223</t>
  </si>
  <si>
    <t>FARM1224</t>
  </si>
  <si>
    <t>FARM1225</t>
  </si>
  <si>
    <t>FARM1226</t>
  </si>
  <si>
    <t>FARM1227</t>
  </si>
  <si>
    <t>FARM1228</t>
  </si>
  <si>
    <t>FARM1229</t>
  </si>
  <si>
    <t>FARM1230</t>
  </si>
  <si>
    <t>FARM1231</t>
  </si>
  <si>
    <t>FARM1232</t>
  </si>
  <si>
    <t>FARM1233</t>
  </si>
  <si>
    <t>FARM1234</t>
  </si>
  <si>
    <t>FARM1235</t>
  </si>
  <si>
    <t>FARM1236</t>
  </si>
  <si>
    <t>FARM1237</t>
  </si>
  <si>
    <t>FARM1238</t>
  </si>
  <si>
    <t>FARM1239</t>
  </si>
  <si>
    <t>FARM1240</t>
  </si>
  <si>
    <t>FARM1241</t>
  </si>
  <si>
    <t>FARM1242</t>
  </si>
  <si>
    <t>FARM1243</t>
  </si>
  <si>
    <t>FARM1244</t>
  </si>
  <si>
    <t>FARM1245</t>
  </si>
  <si>
    <t>FARM1246</t>
  </si>
  <si>
    <t>FARM1247</t>
  </si>
  <si>
    <t>FARM1248</t>
  </si>
  <si>
    <t>FARM1249</t>
  </si>
  <si>
    <t>FARM1250</t>
  </si>
  <si>
    <t>FARM1251</t>
  </si>
  <si>
    <t>FARM1252</t>
  </si>
  <si>
    <t>FARM1253</t>
  </si>
  <si>
    <t>FARM1254</t>
  </si>
  <si>
    <t>FARM1255</t>
  </si>
  <si>
    <t>FARM1256</t>
  </si>
  <si>
    <t>FARM1257</t>
  </si>
  <si>
    <t>FARM1258</t>
  </si>
  <si>
    <t>FARM1259</t>
  </si>
  <si>
    <t>FARM1260</t>
  </si>
  <si>
    <t>FARM1261</t>
  </si>
  <si>
    <t>FARM1262</t>
  </si>
  <si>
    <t>FARM1263</t>
  </si>
  <si>
    <t>FARM1264</t>
  </si>
  <si>
    <t>FARM1265</t>
  </si>
  <si>
    <t>FARM1266</t>
  </si>
  <si>
    <t>FARM1267</t>
  </si>
  <si>
    <t>FARM1268</t>
  </si>
  <si>
    <t>FARM1269</t>
  </si>
  <si>
    <t>FARM1270</t>
  </si>
  <si>
    <t>FARM1271</t>
  </si>
  <si>
    <t>FARM1272</t>
  </si>
  <si>
    <t>FARM1273</t>
  </si>
  <si>
    <t>FARM1274</t>
  </si>
  <si>
    <t>FARM1275</t>
  </si>
  <si>
    <t>FARM1276</t>
  </si>
  <si>
    <t>FARM1277</t>
  </si>
  <si>
    <t>FARM1278</t>
  </si>
  <si>
    <t>FARM1279</t>
  </si>
  <si>
    <t>FARM1280</t>
  </si>
  <si>
    <t>FARM1281</t>
  </si>
  <si>
    <t>FARM1282</t>
  </si>
  <si>
    <t>FARM1283</t>
  </si>
  <si>
    <t>FARM1284</t>
  </si>
  <si>
    <t>FARM1285</t>
  </si>
  <si>
    <t>FARM1286</t>
  </si>
  <si>
    <t>FARM1287</t>
  </si>
  <si>
    <t>FARM1288</t>
  </si>
  <si>
    <t>FARM1289</t>
  </si>
  <si>
    <t>FARM1290</t>
  </si>
  <si>
    <t>FARM1291</t>
  </si>
  <si>
    <t>FARM1292</t>
  </si>
  <si>
    <t>FARM1293</t>
  </si>
  <si>
    <t>FARM1294</t>
  </si>
  <si>
    <t>FARM1295</t>
  </si>
  <si>
    <t>FARM1296</t>
  </si>
  <si>
    <t>FARM1297</t>
  </si>
  <si>
    <t>FARM1298</t>
  </si>
  <si>
    <t>FARM1299</t>
  </si>
  <si>
    <t>FARM1300</t>
  </si>
  <si>
    <t>FARM1301</t>
  </si>
  <si>
    <t>FARM1302</t>
  </si>
  <si>
    <t>FARM1303</t>
  </si>
  <si>
    <t>FARM1304</t>
  </si>
  <si>
    <t>FARM1305</t>
  </si>
  <si>
    <t>FARM1306</t>
  </si>
  <si>
    <t>FARM1307</t>
  </si>
  <si>
    <t>FARM1308</t>
  </si>
  <si>
    <t>FARM1309</t>
  </si>
  <si>
    <t>FARM1310</t>
  </si>
  <si>
    <t>FARM1311</t>
  </si>
  <si>
    <t>FARM1312</t>
  </si>
  <si>
    <t>FARM1313</t>
  </si>
  <si>
    <t>FARM1314</t>
  </si>
  <si>
    <t>FARM1315</t>
  </si>
  <si>
    <t>FARM1316</t>
  </si>
  <si>
    <t>FARM1317</t>
  </si>
  <si>
    <t>FARM1318</t>
  </si>
  <si>
    <t>FARM1319</t>
  </si>
  <si>
    <t>FARM1320</t>
  </si>
  <si>
    <t>FARM1321</t>
  </si>
  <si>
    <t>FARM1322</t>
  </si>
  <si>
    <t>FARM1323</t>
  </si>
  <si>
    <t>FARM1324</t>
  </si>
  <si>
    <t>FARM1325</t>
  </si>
  <si>
    <t>FARM1326</t>
  </si>
  <si>
    <t>FARM1327</t>
  </si>
  <si>
    <t>FARM1328</t>
  </si>
  <si>
    <t>FARM1329</t>
  </si>
  <si>
    <t>FARM1330</t>
  </si>
  <si>
    <t>FARM1331</t>
  </si>
  <si>
    <t>FARM1332</t>
  </si>
  <si>
    <t>FARM1333</t>
  </si>
  <si>
    <t>FARM1334</t>
  </si>
  <si>
    <t>FARM1335</t>
  </si>
  <si>
    <t>FARM1336</t>
  </si>
  <si>
    <t>FARM1337</t>
  </si>
  <si>
    <t>FARM1338</t>
  </si>
  <si>
    <t>FARM1339</t>
  </si>
  <si>
    <t>FARM1340</t>
  </si>
  <si>
    <t>FARM1341</t>
  </si>
  <si>
    <t>FARM1342</t>
  </si>
  <si>
    <t>FARM1343</t>
  </si>
  <si>
    <t>FARM1344</t>
  </si>
  <si>
    <t>FARM1345</t>
  </si>
  <si>
    <t>FARM1346</t>
  </si>
  <si>
    <t>FARM1347</t>
  </si>
  <si>
    <t>FARM1348</t>
  </si>
  <si>
    <t>FARM1349</t>
  </si>
  <si>
    <t>FARM1350</t>
  </si>
  <si>
    <t>FARM1351</t>
  </si>
  <si>
    <t>FARM1352</t>
  </si>
  <si>
    <t>FARM1353</t>
  </si>
  <si>
    <t>FARM1354</t>
  </si>
  <si>
    <t>FARM1355</t>
  </si>
  <si>
    <t>FARM1356</t>
  </si>
  <si>
    <t>FARM1357</t>
  </si>
  <si>
    <t>FARM1358</t>
  </si>
  <si>
    <t>FARM1359</t>
  </si>
  <si>
    <t>FARM1360</t>
  </si>
  <si>
    <t>FARM1361</t>
  </si>
  <si>
    <t>FARM1362</t>
  </si>
  <si>
    <t>FARM1363</t>
  </si>
  <si>
    <t>FARM1364</t>
  </si>
  <si>
    <t>FARM1365</t>
  </si>
  <si>
    <t>FARM1366</t>
  </si>
  <si>
    <t>FARM1367</t>
  </si>
  <si>
    <t>FARM1368</t>
  </si>
  <si>
    <t>FARM1369</t>
  </si>
  <si>
    <t>FARM1370</t>
  </si>
  <si>
    <t>FARM1371</t>
  </si>
  <si>
    <t>FARM1372</t>
  </si>
  <si>
    <t>FARM1373</t>
  </si>
  <si>
    <t>FARM1374</t>
  </si>
  <si>
    <t>FARM1375</t>
  </si>
  <si>
    <t>FARM1376</t>
  </si>
  <si>
    <t>FARM1377</t>
  </si>
  <si>
    <t>FARM1378</t>
  </si>
  <si>
    <t>FARM1379</t>
  </si>
  <si>
    <t>FARM1380</t>
  </si>
  <si>
    <t>FARM1381</t>
  </si>
  <si>
    <t>FARM1382</t>
  </si>
  <si>
    <t>FARM1383</t>
  </si>
  <si>
    <t>FARM1384</t>
  </si>
  <si>
    <t>FARM1385</t>
  </si>
  <si>
    <t>FARM1386</t>
  </si>
  <si>
    <t>FARM1387</t>
  </si>
  <si>
    <t>FARM1388</t>
  </si>
  <si>
    <t>FARM1389</t>
  </si>
  <si>
    <t>FARM1390</t>
  </si>
  <si>
    <t>FARM1391</t>
  </si>
  <si>
    <t>FARM1392</t>
  </si>
  <si>
    <t>FARM1393</t>
  </si>
  <si>
    <t>FARM1394</t>
  </si>
  <si>
    <t>FARM1395</t>
  </si>
  <si>
    <t>FARM1396</t>
  </si>
  <si>
    <t>FARM1397</t>
  </si>
  <si>
    <t>FARM1398</t>
  </si>
  <si>
    <t>FARM1399</t>
  </si>
  <si>
    <t>FARM1400</t>
  </si>
  <si>
    <t>FARM1401</t>
  </si>
  <si>
    <t>FARM1402</t>
  </si>
  <si>
    <t>FARM1403</t>
  </si>
  <si>
    <t>FARM1404</t>
  </si>
  <si>
    <t>FARM1405</t>
  </si>
  <si>
    <t>FARM1406</t>
  </si>
  <si>
    <t>FARM1407</t>
  </si>
  <si>
    <t>FARM1408</t>
  </si>
  <si>
    <t>FARM1409</t>
  </si>
  <si>
    <t>FARM1410</t>
  </si>
  <si>
    <t>FARM1411</t>
  </si>
  <si>
    <t>FARM1412</t>
  </si>
  <si>
    <t>FARM1413</t>
  </si>
  <si>
    <t>FARM1414</t>
  </si>
  <si>
    <t>FARM1415</t>
  </si>
  <si>
    <t>FARM1416</t>
  </si>
  <si>
    <t>FARM1417</t>
  </si>
  <si>
    <t>FARM1418</t>
  </si>
  <si>
    <t>FARM1419</t>
  </si>
  <si>
    <t>FARM1420</t>
  </si>
  <si>
    <t>FARM1421</t>
  </si>
  <si>
    <t>FARM1422</t>
  </si>
  <si>
    <t>FARM1423</t>
  </si>
  <si>
    <t>FARM1424</t>
  </si>
  <si>
    <t>FARM1425</t>
  </si>
  <si>
    <t>FARM1426</t>
  </si>
  <si>
    <t>FARM1427</t>
  </si>
  <si>
    <t>FARM1428</t>
  </si>
  <si>
    <t>FARM1429</t>
  </si>
  <si>
    <t>FARM1430</t>
  </si>
  <si>
    <t>FARM1431</t>
  </si>
  <si>
    <t>FARM1432</t>
  </si>
  <si>
    <t>FARM1433</t>
  </si>
  <si>
    <t>FARM1434</t>
  </si>
  <si>
    <t>FARM1435</t>
  </si>
  <si>
    <t>FARM1436</t>
  </si>
  <si>
    <t>FARM1437</t>
  </si>
  <si>
    <t>FARM1438</t>
  </si>
  <si>
    <t>FARM1439</t>
  </si>
  <si>
    <t>FARM1440</t>
  </si>
  <si>
    <t>FARM1441</t>
  </si>
  <si>
    <t>FARM1442</t>
  </si>
  <si>
    <t>FARM1443</t>
  </si>
  <si>
    <t>FARM1444</t>
  </si>
  <si>
    <t>FARM1445</t>
  </si>
  <si>
    <t>FARM1446</t>
  </si>
  <si>
    <t>FARM1447</t>
  </si>
  <si>
    <t>FARM1448</t>
  </si>
  <si>
    <t>FARM1449</t>
  </si>
  <si>
    <t>FARM1450</t>
  </si>
  <si>
    <t>FARM1451</t>
  </si>
  <si>
    <t>FARM1452</t>
  </si>
  <si>
    <t>FARM1453</t>
  </si>
  <si>
    <t>FARM1454</t>
  </si>
  <si>
    <t>FARM1455</t>
  </si>
  <si>
    <t>FARM1456</t>
  </si>
  <si>
    <t>FARM1457</t>
  </si>
  <si>
    <t>FARM1458</t>
  </si>
  <si>
    <t>FARM1459</t>
  </si>
  <si>
    <t>FARM1460</t>
  </si>
  <si>
    <t>FARM1461</t>
  </si>
  <si>
    <t>FARM1462</t>
  </si>
  <si>
    <t>FARM1463</t>
  </si>
  <si>
    <t>FARM1464</t>
  </si>
  <si>
    <t>FARM1465</t>
  </si>
  <si>
    <t>FARM1466</t>
  </si>
  <si>
    <t>FARM1467</t>
  </si>
  <si>
    <t>FARM1468</t>
  </si>
  <si>
    <t>FARM1469</t>
  </si>
  <si>
    <t>FARM1470</t>
  </si>
  <si>
    <t>FARM1471</t>
  </si>
  <si>
    <t>FARM1472</t>
  </si>
  <si>
    <t>FARM1473</t>
  </si>
  <si>
    <t>FARM1474</t>
  </si>
  <si>
    <t>FARM1475</t>
  </si>
  <si>
    <t>FARM1476</t>
  </si>
  <si>
    <t>FARM1477</t>
  </si>
  <si>
    <t>FARM1478</t>
  </si>
  <si>
    <t>FARM1479</t>
  </si>
  <si>
    <t>FARM1480</t>
  </si>
  <si>
    <t>FARM1481</t>
  </si>
  <si>
    <t>FARM1482</t>
  </si>
  <si>
    <t>FARM1483</t>
  </si>
  <si>
    <t>FARM1484</t>
  </si>
  <si>
    <t>FARM1485</t>
  </si>
  <si>
    <t>FARM1486</t>
  </si>
  <si>
    <t>FARM1487</t>
  </si>
  <si>
    <t>FARM1488</t>
  </si>
  <si>
    <t>FARM1489</t>
  </si>
  <si>
    <t>FARM1490</t>
  </si>
  <si>
    <t>FARM1491</t>
  </si>
  <si>
    <t>FARM1492</t>
  </si>
  <si>
    <t>FARM1493</t>
  </si>
  <si>
    <t>FARM1494</t>
  </si>
  <si>
    <t>FARM1495</t>
  </si>
  <si>
    <t>FARM1496</t>
  </si>
  <si>
    <t>FARM1497</t>
  </si>
  <si>
    <t>FARM1498</t>
  </si>
  <si>
    <t>FARM1499</t>
  </si>
  <si>
    <t>FARM1500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</si>
</sst>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2" fontId="0" fillId="0" borderId="0" xfId="2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32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trike val="0"/>
      </font>
      <fill>
        <patternFill>
          <bgColor theme="9" tint="0.59996337778862885"/>
        </patternFill>
      </fill>
    </dxf>
    <dxf>
      <fill>
        <patternFill>
          <bgColor rgb="FFFF0066"/>
        </patternFill>
      </fill>
    </dxf>
    <dxf>
      <fill>
        <patternFill>
          <bgColor theme="9" tint="0.59996337778862885"/>
        </patternFill>
      </fill>
    </dxf>
    <dxf>
      <fill>
        <patternFill>
          <bgColor rgb="FFEE0000"/>
        </patternFill>
      </fill>
    </dxf>
    <dxf>
      <fill>
        <patternFill>
          <bgColor theme="6" tint="0.79998168889431442"/>
        </patternFill>
      </fill>
    </dxf>
    <dxf>
      <fill>
        <patternFill>
          <bgColor rgb="FFFF9999"/>
        </patternFill>
      </fill>
    </dxf>
    <dxf>
      <fill>
        <patternFill>
          <bgColor theme="6" tint="0.79998168889431442"/>
        </patternFill>
      </fill>
    </dxf>
    <dxf>
      <fill>
        <patternFill>
          <bgColor rgb="FFFF9999"/>
        </patternFill>
      </fill>
    </dxf>
    <dxf>
      <fill>
        <patternFill>
          <bgColor theme="6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9999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10284-C32C-491A-B7E7-A42C5294C4E8}" name="tabla_base" displayName="tabla_base" ref="A1:O1002" totalsRowShown="0" headerRowDxfId="12">
  <autoFilter ref="A1:O1002" xr:uid="{B0E187F3-CF98-4E01-8B18-EC7DA557829F}"/>
  <sortState xmlns:xlrd2="http://schemas.microsoft.com/office/spreadsheetml/2017/richdata2" ref="A2:O501">
    <sortCondition ref="A1:A501"/>
  </sortState>
  <tableColumns count="15">
    <tableColumn id="1" xr3:uid="{B6AE1A87-421B-4FAC-ABF7-F173AFE4AD81}" name="id_establecimiento"/>
    <tableColumn id="2" xr3:uid="{713357BA-B2C8-4966-8B17-39D7F39EFB54}" name="lugar" dataDxfId="11"/>
    <tableColumn id="3" xr3:uid="{75CB353C-07B3-4E38-983D-0962B0CDEA37}" name="region" dataDxfId="10"/>
    <tableColumn id="4" xr3:uid="{CD45C6A6-5317-4AC2-9DEA-EE5CE787302D}" name="tipo_cultivo" dataDxfId="9"/>
    <tableColumn id="5" xr3:uid="{8F03ACBF-F840-432B-A3F3-ECC3A5929084}" name="humedad_suelo_%" dataDxfId="8" dataCellStyle="Porcentaje"/>
    <tableColumn id="6" xr3:uid="{41CD7830-7643-4640-B414-25EB73DCD1EC}" name="pH_suelo" dataDxfId="7"/>
    <tableColumn id="7" xr3:uid="{14572441-4FDD-4059-8A19-C9DC53FEC7BC}" name="temperatura_C" dataDxfId="6"/>
    <tableColumn id="8" xr3:uid="{F0F94398-ED91-4A87-9112-8B87712D7836}" name="precipitaciones_mm" dataDxfId="5"/>
    <tableColumn id="9" xr3:uid="{E2E5E960-C447-4CF6-9D19-87CF048E94FF}" name="humedad_%" dataDxfId="4"/>
    <tableColumn id="11" xr3:uid="{CC73D8F0-F99E-492E-9346-336A605D7F61}" name="tipo_de_riego"/>
    <tableColumn id="26" xr3:uid="{71B18CE5-3B3E-4B24-894B-3AE0571973F1}" name="Rendimiento_por_hectarea_ton" dataDxfId="3" dataCellStyle="Millares"/>
    <tableColumn id="25" xr3:uid="{72A36FD1-9326-42AE-8898-78027819CEF5}" name="percentil_0,75" dataDxfId="2" dataCellStyle="Millares">
      <calculatedColumnFormula array="1">_xlfn.PERCENTILE.INC(_xlfn._xlws.FILTER(tabla_base[Rendimiento_por_hectarea_ton], tabla_base[tipo_cultivo]=tabla_base[[#This Row],[tipo_cultivo]]), 0.75)</calculatedColumnFormula>
    </tableColumn>
    <tableColumn id="24" xr3:uid="{A16C8D0F-2F9A-49F6-9A9D-F07E1960A7D8}" name="rendimiento_alto" dataDxfId="1">
      <calculatedColumnFormula>IF(tabla_base[[#This Row],[Rendimiento_por_hectarea_ton]]&gt;tabla_base[[#This Row],[percentil_0,75]],"Sí","No")</calculatedColumnFormula>
    </tableColumn>
    <tableColumn id="20" xr3:uid="{52CD6AD6-7598-42DA-A7E9-8097FA4DA611}" name="indice_NDVI" dataDxfId="0"/>
    <tableColumn id="21" xr3:uid="{0EAD56B4-1999-42E7-8E65-9397C583AF8D}" name="estado_de_enfermedad_cultiv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7261-0288-43D5-8B6C-C95E90AA36F8}">
  <sheetPr codeName="Hoja3">
    <tabColor rgb="FFFF9999"/>
  </sheetPr>
  <dimension ref="A1:O1002"/>
  <sheetViews>
    <sheetView tabSelected="1" zoomScale="55" zoomScaleNormal="55" workbookViewId="0"/>
  </sheetViews>
  <sheetFormatPr baseColWidth="10" defaultRowHeight="14.5" x14ac:dyDescent="0.35"/>
  <cols>
    <col min="1" max="1" width="18.54296875" customWidth="1"/>
    <col min="4" max="4" width="12.453125" customWidth="1"/>
    <col min="5" max="5" width="18.08984375" customWidth="1"/>
    <col min="7" max="7" width="15.08984375" customWidth="1"/>
    <col min="8" max="8" width="19.453125" customWidth="1"/>
    <col min="9" max="9" width="12.7265625" customWidth="1"/>
    <col min="10" max="10" width="13.90625" customWidth="1"/>
    <col min="11" max="11" width="12.7265625" customWidth="1"/>
    <col min="12" max="13" width="24.453125" customWidth="1"/>
    <col min="14" max="14" width="17.26953125" customWidth="1"/>
    <col min="15" max="15" width="30.6328125" bestFit="1" customWidth="1"/>
    <col min="16" max="16" width="28.453125" customWidth="1"/>
    <col min="17" max="17" width="29.08984375" bestFit="1" customWidth="1"/>
    <col min="18" max="18" width="22.90625" bestFit="1" customWidth="1"/>
    <col min="19" max="27" width="12" bestFit="1" customWidth="1"/>
    <col min="28" max="28" width="14.7265625" bestFit="1" customWidth="1"/>
    <col min="29" max="29" width="11.453125" bestFit="1" customWidth="1"/>
  </cols>
  <sheetData>
    <row r="1" spans="1:15" x14ac:dyDescent="0.3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s="1" t="s">
        <v>16</v>
      </c>
      <c r="C2" s="1" t="s">
        <v>17</v>
      </c>
      <c r="D2" s="1" t="s">
        <v>18</v>
      </c>
      <c r="E2" s="2">
        <v>35.950000000000003</v>
      </c>
      <c r="F2" s="3">
        <v>5.99</v>
      </c>
      <c r="G2" s="3">
        <v>17.79</v>
      </c>
      <c r="H2" s="4">
        <v>75.62</v>
      </c>
      <c r="I2" s="3">
        <v>77.03</v>
      </c>
      <c r="J2" t="s">
        <v>19</v>
      </c>
      <c r="K2" s="5">
        <v>4.4080699999999995</v>
      </c>
      <c r="L2" s="6" cm="1">
        <f t="array" ref="L2">_xlfn.PERCENTILE.INC(_xlfn._xlws.FILTER(tabla_base[Rendimiento_por_hectarea_ton], tabla_base[tipo_cultivo]=tabla_base[[#This Row],[tipo_cultivo]]), 0.75)</f>
        <v>5.2079399999999998</v>
      </c>
      <c r="M2" s="7" t="str">
        <f>IF(tabla_base[[#This Row],[Rendimiento_por_hectarea_ton]]&gt;tabla_base[[#This Row],[percentil_0,75]],"Sí","No")</f>
        <v>No</v>
      </c>
      <c r="N2" s="3">
        <v>0.66</v>
      </c>
      <c r="O2" t="s">
        <v>20</v>
      </c>
    </row>
    <row r="3" spans="1:15" x14ac:dyDescent="0.35">
      <c r="A3" t="s">
        <v>21</v>
      </c>
      <c r="B3" s="1" t="s">
        <v>22</v>
      </c>
      <c r="C3" s="1" t="s">
        <v>23</v>
      </c>
      <c r="D3" s="1" t="s">
        <v>24</v>
      </c>
      <c r="E3" s="2">
        <v>19.739999999999998</v>
      </c>
      <c r="F3" s="3">
        <v>7.24</v>
      </c>
      <c r="G3" s="3">
        <v>30.18</v>
      </c>
      <c r="H3" s="4">
        <v>89.91</v>
      </c>
      <c r="I3" s="3">
        <v>61.13</v>
      </c>
      <c r="J3" t="s">
        <v>25</v>
      </c>
      <c r="K3" s="5">
        <v>5.3899799999999995</v>
      </c>
      <c r="L3" s="6" cm="1">
        <f t="array" ref="L3">_xlfn.PERCENTILE.INC(_xlfn._xlws.FILTER(tabla_base[Rendimiento_por_hectarea_ton], tabla_base[tipo_cultivo]=tabla_base[[#This Row],[tipo_cultivo]]), 0.75)</f>
        <v>5.3984449999999997</v>
      </c>
      <c r="M3" s="7" t="str">
        <f>IF(tabla_base[[#This Row],[Rendimiento_por_hectarea_ton]]&gt;tabla_base[[#This Row],[percentil_0,75]],"Sí","No")</f>
        <v>No</v>
      </c>
      <c r="N3" s="3">
        <v>0.82</v>
      </c>
      <c r="O3" t="s">
        <v>26</v>
      </c>
    </row>
    <row r="4" spans="1:15" x14ac:dyDescent="0.35">
      <c r="A4" t="s">
        <v>27</v>
      </c>
      <c r="B4" s="1" t="s">
        <v>22</v>
      </c>
      <c r="C4" s="1" t="s">
        <v>23</v>
      </c>
      <c r="D4" s="1" t="s">
        <v>18</v>
      </c>
      <c r="E4" s="2">
        <v>29.32</v>
      </c>
      <c r="F4" s="3">
        <v>7.16</v>
      </c>
      <c r="G4" s="3">
        <v>27.37</v>
      </c>
      <c r="H4" s="4">
        <v>265.43</v>
      </c>
      <c r="I4" s="3">
        <v>68.87</v>
      </c>
      <c r="J4" t="s">
        <v>28</v>
      </c>
      <c r="K4" s="5">
        <v>2.9311599999999998</v>
      </c>
      <c r="L4" s="6" cm="1">
        <f t="array" ref="L4">_xlfn.PERCENTILE.INC(_xlfn._xlws.FILTER(tabla_base[Rendimiento_por_hectarea_ton], tabla_base[tipo_cultivo]=tabla_base[[#This Row],[tipo_cultivo]]), 0.75)</f>
        <v>5.2079399999999998</v>
      </c>
      <c r="M4" s="7" t="str">
        <f>IF(tabla_base[[#This Row],[Rendimiento_por_hectarea_ton]]&gt;tabla_base[[#This Row],[percentil_0,75]],"Sí","No")</f>
        <v>No</v>
      </c>
      <c r="N4" s="3">
        <v>0.59</v>
      </c>
      <c r="O4" t="s">
        <v>26</v>
      </c>
    </row>
    <row r="5" spans="1:15" x14ac:dyDescent="0.35">
      <c r="A5" t="s">
        <v>29</v>
      </c>
      <c r="B5" s="1" t="s">
        <v>22</v>
      </c>
      <c r="C5" s="1" t="s">
        <v>30</v>
      </c>
      <c r="D5" s="1" t="s">
        <v>31</v>
      </c>
      <c r="E5" s="2">
        <v>17.329999999999998</v>
      </c>
      <c r="F5" s="3">
        <v>6.03</v>
      </c>
      <c r="G5" s="3">
        <v>33.729999999999997</v>
      </c>
      <c r="H5" s="4">
        <v>212.01</v>
      </c>
      <c r="I5" s="3">
        <v>70.459999999999994</v>
      </c>
      <c r="J5" t="s">
        <v>25</v>
      </c>
      <c r="K5" s="5">
        <v>4.2278000000000002</v>
      </c>
      <c r="L5" s="6" cm="1">
        <f t="array" ref="L5">_xlfn.PERCENTILE.INC(_xlfn._xlws.FILTER(tabla_base[Rendimiento_por_hectarea_ton], tabla_base[tipo_cultivo]=tabla_base[[#This Row],[tipo_cultivo]]), 0.75)</f>
        <v>5.1742550000000005</v>
      </c>
      <c r="M5" s="7" t="str">
        <f>IF(tabla_base[[#This Row],[Rendimiento_por_hectarea_ton]]&gt;tabla_base[[#This Row],[percentil_0,75]],"Sí","No")</f>
        <v>No</v>
      </c>
      <c r="N5" s="3">
        <v>0.71</v>
      </c>
      <c r="O5" t="s">
        <v>26</v>
      </c>
    </row>
    <row r="6" spans="1:15" x14ac:dyDescent="0.35">
      <c r="A6" t="s">
        <v>32</v>
      </c>
      <c r="B6" s="1" t="s">
        <v>22</v>
      </c>
      <c r="C6" s="1" t="s">
        <v>30</v>
      </c>
      <c r="D6" s="1" t="s">
        <v>33</v>
      </c>
      <c r="E6" s="2">
        <v>19.37</v>
      </c>
      <c r="F6" s="3">
        <v>5.92</v>
      </c>
      <c r="G6" s="3">
        <v>33.86</v>
      </c>
      <c r="H6" s="4">
        <v>269.08999999999997</v>
      </c>
      <c r="I6" s="3">
        <v>55.73</v>
      </c>
      <c r="J6" t="s">
        <v>19</v>
      </c>
      <c r="K6" s="5">
        <v>4.9799600000000002</v>
      </c>
      <c r="L6" s="6" cm="1">
        <f t="array" ref="L6">_xlfn.PERCENTILE.INC(_xlfn._xlws.FILTER(tabla_base[Rendimiento_por_hectarea_ton], tabla_base[tipo_cultivo]=tabla_base[[#This Row],[tipo_cultivo]]), 0.75)</f>
        <v>5.1635450000000001</v>
      </c>
      <c r="M6" s="7" t="str">
        <f>IF(tabla_base[[#This Row],[Rendimiento_por_hectarea_ton]]&gt;tabla_base[[#This Row],[percentil_0,75]],"Sí","No")</f>
        <v>No</v>
      </c>
      <c r="N6" s="3">
        <v>0.68</v>
      </c>
      <c r="O6" t="s">
        <v>26</v>
      </c>
    </row>
    <row r="7" spans="1:15" x14ac:dyDescent="0.35">
      <c r="A7" t="s">
        <v>34</v>
      </c>
      <c r="B7" s="1" t="s">
        <v>22</v>
      </c>
      <c r="C7" s="1" t="s">
        <v>30</v>
      </c>
      <c r="D7" s="1" t="s">
        <v>35</v>
      </c>
      <c r="E7" s="2">
        <v>44.91</v>
      </c>
      <c r="F7" s="3">
        <v>5.78</v>
      </c>
      <c r="G7" s="3">
        <v>24.87</v>
      </c>
      <c r="H7" s="4">
        <v>238.95</v>
      </c>
      <c r="I7" s="3">
        <v>83.06</v>
      </c>
      <c r="J7" t="s">
        <v>25</v>
      </c>
      <c r="K7" s="5">
        <v>4.3835500000000005</v>
      </c>
      <c r="L7" s="6" cm="1">
        <f t="array" ref="L7">_xlfn.PERCENTILE.INC(_xlfn._xlws.FILTER(tabla_base[Rendimiento_por_hectarea_ton], tabla_base[tipo_cultivo]=tabla_base[[#This Row],[tipo_cultivo]]), 0.75)</f>
        <v>5.1318025</v>
      </c>
      <c r="M7" s="7" t="str">
        <f>IF(tabla_base[[#This Row],[Rendimiento_por_hectarea_ton]]&gt;tabla_base[[#This Row],[percentil_0,75]],"Sí","No")</f>
        <v>No</v>
      </c>
      <c r="N7" s="3">
        <v>0.38</v>
      </c>
      <c r="O7" t="s">
        <v>26</v>
      </c>
    </row>
    <row r="8" spans="1:15" x14ac:dyDescent="0.35">
      <c r="A8" t="s">
        <v>36</v>
      </c>
      <c r="B8" s="1" t="s">
        <v>16</v>
      </c>
      <c r="C8" s="1" t="s">
        <v>17</v>
      </c>
      <c r="D8" s="1" t="s">
        <v>24</v>
      </c>
      <c r="E8" s="2">
        <v>36.28</v>
      </c>
      <c r="F8" s="3">
        <v>7.04</v>
      </c>
      <c r="G8" s="3">
        <v>21.8</v>
      </c>
      <c r="H8" s="4">
        <v>123.38</v>
      </c>
      <c r="I8" s="3">
        <v>47.91</v>
      </c>
      <c r="J8" t="s">
        <v>37</v>
      </c>
      <c r="K8" s="5">
        <v>4.5011999999999999</v>
      </c>
      <c r="L8" s="6" cm="1">
        <f t="array" ref="L8">_xlfn.PERCENTILE.INC(_xlfn._xlws.FILTER(tabla_base[Rendimiento_por_hectarea_ton], tabla_base[tipo_cultivo]=tabla_base[[#This Row],[tipo_cultivo]]), 0.75)</f>
        <v>5.3984449999999997</v>
      </c>
      <c r="M8" s="7" t="str">
        <f>IF(tabla_base[[#This Row],[Rendimiento_por_hectarea_ton]]&gt;tabla_base[[#This Row],[percentil_0,75]],"Sí","No")</f>
        <v>No</v>
      </c>
      <c r="N8" s="3">
        <v>0.9</v>
      </c>
      <c r="O8" t="s">
        <v>26</v>
      </c>
    </row>
    <row r="9" spans="1:15" x14ac:dyDescent="0.35">
      <c r="A9" t="s">
        <v>38</v>
      </c>
      <c r="B9" s="1" t="s">
        <v>39</v>
      </c>
      <c r="C9" s="1" t="s">
        <v>40</v>
      </c>
      <c r="D9" s="1" t="s">
        <v>31</v>
      </c>
      <c r="E9" s="2">
        <v>27.1</v>
      </c>
      <c r="F9" s="3">
        <v>5.72</v>
      </c>
      <c r="G9" s="3">
        <v>22.26</v>
      </c>
      <c r="H9" s="4">
        <v>296.33</v>
      </c>
      <c r="I9" s="3">
        <v>80.34</v>
      </c>
      <c r="J9" t="s">
        <v>25</v>
      </c>
      <c r="K9" s="5">
        <v>5.2640900000000004</v>
      </c>
      <c r="L9" s="6" cm="1">
        <f t="array" ref="L9">_xlfn.PERCENTILE.INC(_xlfn._xlws.FILTER(tabla_base[Rendimiento_por_hectarea_ton], tabla_base[tipo_cultivo]=tabla_base[[#This Row],[tipo_cultivo]]), 0.75)</f>
        <v>5.1742550000000005</v>
      </c>
      <c r="M9" s="7" t="str">
        <f>IF(tabla_base[[#This Row],[Rendimiento_por_hectarea_ton]]&gt;tabla_base[[#This Row],[percentil_0,75]],"Sí","No")</f>
        <v>Sí</v>
      </c>
      <c r="N9" s="3">
        <v>0.81</v>
      </c>
      <c r="O9" t="s">
        <v>20</v>
      </c>
    </row>
    <row r="10" spans="1:15" x14ac:dyDescent="0.35">
      <c r="A10" t="s">
        <v>41</v>
      </c>
      <c r="B10" s="1" t="s">
        <v>22</v>
      </c>
      <c r="C10" s="1" t="s">
        <v>30</v>
      </c>
      <c r="D10" s="1" t="s">
        <v>24</v>
      </c>
      <c r="E10" s="2">
        <v>40.54</v>
      </c>
      <c r="F10" s="3">
        <v>6.35</v>
      </c>
      <c r="G10" s="3">
        <v>19.239999999999998</v>
      </c>
      <c r="H10" s="4">
        <v>184.82</v>
      </c>
      <c r="I10" s="3">
        <v>76.5</v>
      </c>
      <c r="J10" t="s">
        <v>37</v>
      </c>
      <c r="K10" s="5">
        <v>5.5984600000000002</v>
      </c>
      <c r="L10" s="6" cm="1">
        <f t="array" ref="L10">_xlfn.PERCENTILE.INC(_xlfn._xlws.FILTER(tabla_base[Rendimiento_por_hectarea_ton], tabla_base[tipo_cultivo]=tabla_base[[#This Row],[tipo_cultivo]]), 0.75)</f>
        <v>5.3984449999999997</v>
      </c>
      <c r="M10" s="7" t="str">
        <f>IF(tabla_base[[#This Row],[Rendimiento_por_hectarea_ton]]&gt;tabla_base[[#This Row],[percentil_0,75]],"Sí","No")</f>
        <v>Sí</v>
      </c>
      <c r="N10" s="3">
        <v>0.62</v>
      </c>
      <c r="O10" t="s">
        <v>19</v>
      </c>
    </row>
    <row r="11" spans="1:15" x14ac:dyDescent="0.35">
      <c r="A11" t="s">
        <v>42</v>
      </c>
      <c r="B11" s="1" t="s">
        <v>39</v>
      </c>
      <c r="C11" s="1" t="s">
        <v>40</v>
      </c>
      <c r="D11" s="1" t="s">
        <v>35</v>
      </c>
      <c r="E11" s="2">
        <v>10.25</v>
      </c>
      <c r="F11" s="3">
        <v>6.92</v>
      </c>
      <c r="G11" s="3">
        <v>16.18</v>
      </c>
      <c r="H11" s="4">
        <v>66.849999999999994</v>
      </c>
      <c r="I11" s="3">
        <v>41.57</v>
      </c>
      <c r="J11" t="s">
        <v>25</v>
      </c>
      <c r="K11" s="5">
        <v>4.8934100000000003</v>
      </c>
      <c r="L11" s="6" cm="1">
        <f t="array" ref="L11">_xlfn.PERCENTILE.INC(_xlfn._xlws.FILTER(tabla_base[Rendimiento_por_hectarea_ton], tabla_base[tipo_cultivo]=tabla_base[[#This Row],[tipo_cultivo]]), 0.75)</f>
        <v>5.1318025</v>
      </c>
      <c r="M11" s="7" t="str">
        <f>IF(tabla_base[[#This Row],[Rendimiento_por_hectarea_ton]]&gt;tabla_base[[#This Row],[percentil_0,75]],"Sí","No")</f>
        <v>No</v>
      </c>
      <c r="N11" s="3">
        <v>0.36</v>
      </c>
      <c r="O11" t="s">
        <v>20</v>
      </c>
    </row>
    <row r="12" spans="1:15" x14ac:dyDescent="0.35">
      <c r="A12" t="s">
        <v>43</v>
      </c>
      <c r="B12" s="1" t="s">
        <v>16</v>
      </c>
      <c r="C12" s="1" t="s">
        <v>23</v>
      </c>
      <c r="D12" s="1" t="s">
        <v>18</v>
      </c>
      <c r="E12" s="2">
        <v>13.39</v>
      </c>
      <c r="F12" s="3">
        <v>6.36</v>
      </c>
      <c r="G12" s="3">
        <v>23.47</v>
      </c>
      <c r="H12" s="4">
        <v>166.76</v>
      </c>
      <c r="I12" s="3">
        <v>76.45</v>
      </c>
      <c r="J12" t="s">
        <v>28</v>
      </c>
      <c r="K12" s="5">
        <v>2.4370799999999999</v>
      </c>
      <c r="L12" s="6" cm="1">
        <f t="array" ref="L12">_xlfn.PERCENTILE.INC(_xlfn._xlws.FILTER(tabla_base[Rendimiento_por_hectarea_ton], tabla_base[tipo_cultivo]=tabla_base[[#This Row],[tipo_cultivo]]), 0.75)</f>
        <v>5.2079399999999998</v>
      </c>
      <c r="M12" s="7" t="str">
        <f>IF(tabla_base[[#This Row],[Rendimiento_por_hectarea_ton]]&gt;tabla_base[[#This Row],[percentil_0,75]],"Sí","No")</f>
        <v>No</v>
      </c>
      <c r="N12" s="3">
        <v>0.6</v>
      </c>
      <c r="O12" t="s">
        <v>44</v>
      </c>
    </row>
    <row r="13" spans="1:15" x14ac:dyDescent="0.35">
      <c r="A13" t="s">
        <v>45</v>
      </c>
      <c r="B13" s="1" t="s">
        <v>22</v>
      </c>
      <c r="C13" s="1" t="s">
        <v>23</v>
      </c>
      <c r="D13" s="1" t="s">
        <v>35</v>
      </c>
      <c r="E13" s="2">
        <v>40.61</v>
      </c>
      <c r="F13" s="3">
        <v>5.65</v>
      </c>
      <c r="G13" s="3">
        <v>31.16</v>
      </c>
      <c r="H13" s="4">
        <v>263.99</v>
      </c>
      <c r="I13" s="3">
        <v>44.9</v>
      </c>
      <c r="J13" t="s">
        <v>28</v>
      </c>
      <c r="K13" s="5">
        <v>3.9425599999999998</v>
      </c>
      <c r="L13" s="6" cm="1">
        <f t="array" ref="L13">_xlfn.PERCENTILE.INC(_xlfn._xlws.FILTER(tabla_base[Rendimiento_por_hectarea_ton], tabla_base[tipo_cultivo]=tabla_base[[#This Row],[tipo_cultivo]]), 0.75)</f>
        <v>5.1318025</v>
      </c>
      <c r="M13" s="7" t="str">
        <f>IF(tabla_base[[#This Row],[Rendimiento_por_hectarea_ton]]&gt;tabla_base[[#This Row],[percentil_0,75]],"Sí","No")</f>
        <v>No</v>
      </c>
      <c r="N13" s="3">
        <v>0.4</v>
      </c>
      <c r="O13" t="s">
        <v>44</v>
      </c>
    </row>
    <row r="14" spans="1:15" x14ac:dyDescent="0.35">
      <c r="A14" t="s">
        <v>46</v>
      </c>
      <c r="B14" s="1" t="s">
        <v>22</v>
      </c>
      <c r="C14" s="1" t="s">
        <v>23</v>
      </c>
      <c r="D14" s="1" t="s">
        <v>31</v>
      </c>
      <c r="E14" s="2">
        <v>42.43</v>
      </c>
      <c r="F14" s="3">
        <v>7.07</v>
      </c>
      <c r="G14" s="3">
        <v>20.7</v>
      </c>
      <c r="H14" s="4">
        <v>224.15</v>
      </c>
      <c r="I14" s="3">
        <v>76.53</v>
      </c>
      <c r="J14" t="s">
        <v>19</v>
      </c>
      <c r="K14" s="5">
        <v>4.9429499999999997</v>
      </c>
      <c r="L14" s="6" cm="1">
        <f t="array" ref="L14">_xlfn.PERCENTILE.INC(_xlfn._xlws.FILTER(tabla_base[Rendimiento_por_hectarea_ton], tabla_base[tipo_cultivo]=tabla_base[[#This Row],[tipo_cultivo]]), 0.75)</f>
        <v>5.1742550000000005</v>
      </c>
      <c r="M14" s="7" t="str">
        <f>IF(tabla_base[[#This Row],[Rendimiento_por_hectarea_ton]]&gt;tabla_base[[#This Row],[percentil_0,75]],"Sí","No")</f>
        <v>No</v>
      </c>
      <c r="N14" s="3">
        <v>0.76</v>
      </c>
      <c r="O14" t="s">
        <v>20</v>
      </c>
    </row>
    <row r="15" spans="1:15" x14ac:dyDescent="0.35">
      <c r="A15" t="s">
        <v>47</v>
      </c>
      <c r="B15" s="1" t="s">
        <v>16</v>
      </c>
      <c r="C15" s="1" t="s">
        <v>17</v>
      </c>
      <c r="D15" s="1" t="s">
        <v>24</v>
      </c>
      <c r="E15" s="2">
        <v>12.8</v>
      </c>
      <c r="F15" s="3">
        <v>5.87</v>
      </c>
      <c r="G15" s="3">
        <v>26.9</v>
      </c>
      <c r="H15" s="4">
        <v>218.8</v>
      </c>
      <c r="I15" s="3">
        <v>51.76</v>
      </c>
      <c r="J15" t="s">
        <v>25</v>
      </c>
      <c r="K15" s="5">
        <v>4.6294899999999997</v>
      </c>
      <c r="L15" s="6" cm="1">
        <f t="array" ref="L15">_xlfn.PERCENTILE.INC(_xlfn._xlws.FILTER(tabla_base[Rendimiento_por_hectarea_ton], tabla_base[tipo_cultivo]=tabla_base[[#This Row],[tipo_cultivo]]), 0.75)</f>
        <v>5.3984449999999997</v>
      </c>
      <c r="M15" s="7" t="str">
        <f>IF(tabla_base[[#This Row],[Rendimiento_por_hectarea_ton]]&gt;tabla_base[[#This Row],[percentil_0,75]],"Sí","No")</f>
        <v>No</v>
      </c>
      <c r="N15" s="3">
        <v>0.46</v>
      </c>
      <c r="O15" t="s">
        <v>26</v>
      </c>
    </row>
    <row r="16" spans="1:15" x14ac:dyDescent="0.35">
      <c r="A16" t="s">
        <v>48</v>
      </c>
      <c r="B16" s="1" t="s">
        <v>16</v>
      </c>
      <c r="C16" s="1" t="s">
        <v>23</v>
      </c>
      <c r="D16" s="1" t="s">
        <v>31</v>
      </c>
      <c r="E16" s="2">
        <v>23.85</v>
      </c>
      <c r="F16" s="3">
        <v>6.84</v>
      </c>
      <c r="G16" s="3">
        <v>21</v>
      </c>
      <c r="H16" s="4">
        <v>129.04</v>
      </c>
      <c r="I16" s="3">
        <v>77.59</v>
      </c>
      <c r="J16" t="s">
        <v>19</v>
      </c>
      <c r="K16" s="5">
        <v>2.8526199999999999</v>
      </c>
      <c r="L16" s="6" cm="1">
        <f t="array" ref="L16">_xlfn.PERCENTILE.INC(_xlfn._xlws.FILTER(tabla_base[Rendimiento_por_hectarea_ton], tabla_base[tipo_cultivo]=tabla_base[[#This Row],[tipo_cultivo]]), 0.75)</f>
        <v>5.1742550000000005</v>
      </c>
      <c r="M16" s="7" t="str">
        <f>IF(tabla_base[[#This Row],[Rendimiento_por_hectarea_ton]]&gt;tabla_base[[#This Row],[percentil_0,75]],"Sí","No")</f>
        <v>No</v>
      </c>
      <c r="N16" s="3">
        <v>0.41</v>
      </c>
      <c r="O16" t="s">
        <v>44</v>
      </c>
    </row>
    <row r="17" spans="1:15" x14ac:dyDescent="0.35">
      <c r="A17" t="s">
        <v>49</v>
      </c>
      <c r="B17" s="1" t="s">
        <v>22</v>
      </c>
      <c r="C17" s="1" t="s">
        <v>30</v>
      </c>
      <c r="D17" s="1" t="s">
        <v>31</v>
      </c>
      <c r="E17" s="2">
        <v>15.52</v>
      </c>
      <c r="F17" s="3">
        <v>7.17</v>
      </c>
      <c r="G17" s="3">
        <v>29.07</v>
      </c>
      <c r="H17" s="4">
        <v>202.92</v>
      </c>
      <c r="I17" s="3">
        <v>89.36</v>
      </c>
      <c r="J17" t="s">
        <v>28</v>
      </c>
      <c r="K17" s="5">
        <v>5.7557200000000002</v>
      </c>
      <c r="L17" s="6" cm="1">
        <f t="array" ref="L17">_xlfn.PERCENTILE.INC(_xlfn._xlws.FILTER(tabla_base[Rendimiento_por_hectarea_ton], tabla_base[tipo_cultivo]=tabla_base[[#This Row],[tipo_cultivo]]), 0.75)</f>
        <v>5.1742550000000005</v>
      </c>
      <c r="M17" s="7" t="str">
        <f>IF(tabla_base[[#This Row],[Rendimiento_por_hectarea_ton]]&gt;tabla_base[[#This Row],[percentil_0,75]],"Sí","No")</f>
        <v>Sí</v>
      </c>
      <c r="N17" s="3">
        <v>0.7</v>
      </c>
      <c r="O17" t="s">
        <v>19</v>
      </c>
    </row>
    <row r="18" spans="1:15" x14ac:dyDescent="0.35">
      <c r="A18" t="s">
        <v>50</v>
      </c>
      <c r="B18" s="1" t="s">
        <v>22</v>
      </c>
      <c r="C18" s="1" t="s">
        <v>30</v>
      </c>
      <c r="D18" s="1" t="s">
        <v>31</v>
      </c>
      <c r="E18" s="2">
        <v>31.17</v>
      </c>
      <c r="F18" s="3">
        <v>6.94</v>
      </c>
      <c r="G18" s="3">
        <v>19.07</v>
      </c>
      <c r="H18" s="4">
        <v>208.56</v>
      </c>
      <c r="I18" s="3">
        <v>53.2</v>
      </c>
      <c r="J18" t="s">
        <v>28</v>
      </c>
      <c r="K18" s="5">
        <v>3.3342299999999998</v>
      </c>
      <c r="L18" s="6" cm="1">
        <f t="array" ref="L18">_xlfn.PERCENTILE.INC(_xlfn._xlws.FILTER(tabla_base[Rendimiento_por_hectarea_ton], tabla_base[tipo_cultivo]=tabla_base[[#This Row],[tipo_cultivo]]), 0.75)</f>
        <v>5.1742550000000005</v>
      </c>
      <c r="M18" s="7" t="str">
        <f>IF(tabla_base[[#This Row],[Rendimiento_por_hectarea_ton]]&gt;tabla_base[[#This Row],[percentil_0,75]],"Sí","No")</f>
        <v>No</v>
      </c>
      <c r="N18" s="3">
        <v>0.34</v>
      </c>
      <c r="O18" t="s">
        <v>44</v>
      </c>
    </row>
    <row r="19" spans="1:15" x14ac:dyDescent="0.35">
      <c r="A19" t="s">
        <v>51</v>
      </c>
      <c r="B19" s="1" t="s">
        <v>39</v>
      </c>
      <c r="C19" s="1" t="s">
        <v>40</v>
      </c>
      <c r="D19" s="1" t="s">
        <v>18</v>
      </c>
      <c r="E19" s="2">
        <v>13.92</v>
      </c>
      <c r="F19" s="3">
        <v>7.39</v>
      </c>
      <c r="G19" s="3">
        <v>28.82</v>
      </c>
      <c r="H19" s="4">
        <v>87.26</v>
      </c>
      <c r="I19" s="3">
        <v>41.8</v>
      </c>
      <c r="J19" t="s">
        <v>25</v>
      </c>
      <c r="K19" s="5">
        <v>5.7323500000000003</v>
      </c>
      <c r="L19" s="6" cm="1">
        <f t="array" ref="L19">_xlfn.PERCENTILE.INC(_xlfn._xlws.FILTER(tabla_base[Rendimiento_por_hectarea_ton], tabla_base[tipo_cultivo]=tabla_base[[#This Row],[tipo_cultivo]]), 0.75)</f>
        <v>5.2079399999999998</v>
      </c>
      <c r="M19" s="7" t="str">
        <f>IF(tabla_base[[#This Row],[Rendimiento_por_hectarea_ton]]&gt;tabla_base[[#This Row],[percentil_0,75]],"Sí","No")</f>
        <v>Sí</v>
      </c>
      <c r="N19" s="3">
        <v>0.51</v>
      </c>
      <c r="O19" t="s">
        <v>20</v>
      </c>
    </row>
    <row r="20" spans="1:15" x14ac:dyDescent="0.35">
      <c r="A20" t="s">
        <v>52</v>
      </c>
      <c r="B20" s="1" t="s">
        <v>22</v>
      </c>
      <c r="C20" s="1" t="s">
        <v>30</v>
      </c>
      <c r="D20" s="1" t="s">
        <v>24</v>
      </c>
      <c r="E20" s="2">
        <v>40.94</v>
      </c>
      <c r="F20" s="3">
        <v>6.31</v>
      </c>
      <c r="G20" s="3">
        <v>27.41</v>
      </c>
      <c r="H20" s="4">
        <v>88.64</v>
      </c>
      <c r="I20" s="3">
        <v>86.49</v>
      </c>
      <c r="J20" t="s">
        <v>25</v>
      </c>
      <c r="K20" s="5">
        <v>5.7232599999999998</v>
      </c>
      <c r="L20" s="6" cm="1">
        <f t="array" ref="L20">_xlfn.PERCENTILE.INC(_xlfn._xlws.FILTER(tabla_base[Rendimiento_por_hectarea_ton], tabla_base[tipo_cultivo]=tabla_base[[#This Row],[tipo_cultivo]]), 0.75)</f>
        <v>5.3984449999999997</v>
      </c>
      <c r="M20" s="7" t="str">
        <f>IF(tabla_base[[#This Row],[Rendimiento_por_hectarea_ton]]&gt;tabla_base[[#This Row],[percentil_0,75]],"Sí","No")</f>
        <v>Sí</v>
      </c>
      <c r="N20" s="3">
        <v>0.84</v>
      </c>
      <c r="O20" t="s">
        <v>20</v>
      </c>
    </row>
    <row r="21" spans="1:15" x14ac:dyDescent="0.35">
      <c r="A21" t="s">
        <v>53</v>
      </c>
      <c r="B21" s="1" t="s">
        <v>22</v>
      </c>
      <c r="C21" s="1" t="s">
        <v>23</v>
      </c>
      <c r="D21" s="1" t="s">
        <v>35</v>
      </c>
      <c r="E21" s="2">
        <v>16.989999999999998</v>
      </c>
      <c r="F21" s="3">
        <v>7.34</v>
      </c>
      <c r="G21" s="3">
        <v>21.99</v>
      </c>
      <c r="H21" s="4">
        <v>255.13</v>
      </c>
      <c r="I21" s="3">
        <v>83.57</v>
      </c>
      <c r="J21" t="s">
        <v>25</v>
      </c>
      <c r="K21" s="5">
        <v>3.4045799999999997</v>
      </c>
      <c r="L21" s="6" cm="1">
        <f t="array" ref="L21">_xlfn.PERCENTILE.INC(_xlfn._xlws.FILTER(tabla_base[Rendimiento_por_hectarea_ton], tabla_base[tipo_cultivo]=tabla_base[[#This Row],[tipo_cultivo]]), 0.75)</f>
        <v>5.1318025</v>
      </c>
      <c r="M21" s="7" t="str">
        <f>IF(tabla_base[[#This Row],[Rendimiento_por_hectarea_ton]]&gt;tabla_base[[#This Row],[percentil_0,75]],"Sí","No")</f>
        <v>No</v>
      </c>
      <c r="N21" s="3">
        <v>0.46</v>
      </c>
      <c r="O21" t="s">
        <v>26</v>
      </c>
    </row>
    <row r="22" spans="1:15" x14ac:dyDescent="0.35">
      <c r="A22" t="s">
        <v>54</v>
      </c>
      <c r="B22" s="1" t="s">
        <v>16</v>
      </c>
      <c r="C22" s="1" t="s">
        <v>17</v>
      </c>
      <c r="D22" s="1" t="s">
        <v>31</v>
      </c>
      <c r="E22" s="2">
        <v>16.25</v>
      </c>
      <c r="F22" s="3">
        <v>7.43</v>
      </c>
      <c r="G22" s="3">
        <v>20.309999999999999</v>
      </c>
      <c r="H22" s="4">
        <v>77.099999999999994</v>
      </c>
      <c r="I22" s="3">
        <v>61.73</v>
      </c>
      <c r="J22" t="s">
        <v>37</v>
      </c>
      <c r="K22" s="5">
        <v>5.59802</v>
      </c>
      <c r="L22" s="6" cm="1">
        <f t="array" ref="L22">_xlfn.PERCENTILE.INC(_xlfn._xlws.FILTER(tabla_base[Rendimiento_por_hectarea_ton], tabla_base[tipo_cultivo]=tabla_base[[#This Row],[tipo_cultivo]]), 0.75)</f>
        <v>5.1742550000000005</v>
      </c>
      <c r="M22" s="7" t="str">
        <f>IF(tabla_base[[#This Row],[Rendimiento_por_hectarea_ton]]&gt;tabla_base[[#This Row],[percentil_0,75]],"Sí","No")</f>
        <v>Sí</v>
      </c>
      <c r="N22" s="3">
        <v>0.56999999999999995</v>
      </c>
      <c r="O22" t="s">
        <v>20</v>
      </c>
    </row>
    <row r="23" spans="1:15" x14ac:dyDescent="0.35">
      <c r="A23" t="s">
        <v>55</v>
      </c>
      <c r="B23" s="1" t="s">
        <v>22</v>
      </c>
      <c r="C23" s="1" t="s">
        <v>30</v>
      </c>
      <c r="D23" s="1" t="s">
        <v>33</v>
      </c>
      <c r="E23" s="2">
        <v>12.45</v>
      </c>
      <c r="F23" s="3">
        <v>6.83</v>
      </c>
      <c r="G23" s="3">
        <v>21.6</v>
      </c>
      <c r="H23" s="4">
        <v>128.47999999999999</v>
      </c>
      <c r="I23" s="3">
        <v>82.4</v>
      </c>
      <c r="J23" t="s">
        <v>37</v>
      </c>
      <c r="K23" s="5">
        <v>4.7888299999999999</v>
      </c>
      <c r="L23" s="6" cm="1">
        <f t="array" ref="L23">_xlfn.PERCENTILE.INC(_xlfn._xlws.FILTER(tabla_base[Rendimiento_por_hectarea_ton], tabla_base[tipo_cultivo]=tabla_base[[#This Row],[tipo_cultivo]]), 0.75)</f>
        <v>5.1635450000000001</v>
      </c>
      <c r="M23" s="7" t="str">
        <f>IF(tabla_base[[#This Row],[Rendimiento_por_hectarea_ton]]&gt;tabla_base[[#This Row],[percentil_0,75]],"Sí","No")</f>
        <v>No</v>
      </c>
      <c r="N23" s="3">
        <v>0.68</v>
      </c>
      <c r="O23" t="s">
        <v>19</v>
      </c>
    </row>
    <row r="24" spans="1:15" x14ac:dyDescent="0.35">
      <c r="A24" t="s">
        <v>56</v>
      </c>
      <c r="B24" s="1" t="s">
        <v>39</v>
      </c>
      <c r="C24" s="1" t="s">
        <v>40</v>
      </c>
      <c r="D24" s="1" t="s">
        <v>24</v>
      </c>
      <c r="E24" s="2">
        <v>20.53</v>
      </c>
      <c r="F24" s="3">
        <v>6.6</v>
      </c>
      <c r="G24" s="3">
        <v>15.01</v>
      </c>
      <c r="H24" s="4">
        <v>121.73</v>
      </c>
      <c r="I24" s="3">
        <v>61.49</v>
      </c>
      <c r="J24" t="s">
        <v>37</v>
      </c>
      <c r="K24" s="5">
        <v>3.8927399999999999</v>
      </c>
      <c r="L24" s="6" cm="1">
        <f t="array" ref="L24">_xlfn.PERCENTILE.INC(_xlfn._xlws.FILTER(tabla_base[Rendimiento_por_hectarea_ton], tabla_base[tipo_cultivo]=tabla_base[[#This Row],[tipo_cultivo]]), 0.75)</f>
        <v>5.3984449999999997</v>
      </c>
      <c r="M24" s="7" t="str">
        <f>IF(tabla_base[[#This Row],[Rendimiento_por_hectarea_ton]]&gt;tabla_base[[#This Row],[percentil_0,75]],"Sí","No")</f>
        <v>No</v>
      </c>
      <c r="N24" s="3">
        <v>0.38</v>
      </c>
      <c r="O24" t="s">
        <v>44</v>
      </c>
    </row>
    <row r="25" spans="1:15" x14ac:dyDescent="0.35">
      <c r="A25" t="s">
        <v>57</v>
      </c>
      <c r="B25" s="1" t="s">
        <v>39</v>
      </c>
      <c r="C25" s="1" t="s">
        <v>40</v>
      </c>
      <c r="D25" s="1" t="s">
        <v>24</v>
      </c>
      <c r="E25" s="2">
        <v>21.73</v>
      </c>
      <c r="F25" s="3">
        <v>7.14</v>
      </c>
      <c r="G25" s="3">
        <v>30.02</v>
      </c>
      <c r="H25" s="4">
        <v>218.2</v>
      </c>
      <c r="I25" s="3">
        <v>51.23</v>
      </c>
      <c r="J25" t="s">
        <v>28</v>
      </c>
      <c r="K25" s="5">
        <v>5.0739600000000005</v>
      </c>
      <c r="L25" s="6" cm="1">
        <f t="array" ref="L25">_xlfn.PERCENTILE.INC(_xlfn._xlws.FILTER(tabla_base[Rendimiento_por_hectarea_ton], tabla_base[tipo_cultivo]=tabla_base[[#This Row],[tipo_cultivo]]), 0.75)</f>
        <v>5.3984449999999997</v>
      </c>
      <c r="M25" s="7" t="str">
        <f>IF(tabla_base[[#This Row],[Rendimiento_por_hectarea_ton]]&gt;tabla_base[[#This Row],[percentil_0,75]],"Sí","No")</f>
        <v>No</v>
      </c>
      <c r="N25" s="3">
        <v>0.71</v>
      </c>
      <c r="O25" t="s">
        <v>19</v>
      </c>
    </row>
    <row r="26" spans="1:15" x14ac:dyDescent="0.35">
      <c r="A26" t="s">
        <v>58</v>
      </c>
      <c r="B26" s="1" t="s">
        <v>22</v>
      </c>
      <c r="C26" s="1" t="s">
        <v>23</v>
      </c>
      <c r="D26" s="1" t="s">
        <v>33</v>
      </c>
      <c r="E26" s="2">
        <v>18.54</v>
      </c>
      <c r="F26" s="3">
        <v>6.81</v>
      </c>
      <c r="G26" s="3">
        <v>15.11</v>
      </c>
      <c r="H26" s="4">
        <v>237.74</v>
      </c>
      <c r="I26" s="3">
        <v>78.5</v>
      </c>
      <c r="J26" t="s">
        <v>19</v>
      </c>
      <c r="K26" s="5">
        <v>2.2008700000000001</v>
      </c>
      <c r="L26" s="6" cm="1">
        <f t="array" ref="L26">_xlfn.PERCENTILE.INC(_xlfn._xlws.FILTER(tabla_base[Rendimiento_por_hectarea_ton], tabla_base[tipo_cultivo]=tabla_base[[#This Row],[tipo_cultivo]]), 0.75)</f>
        <v>5.1635450000000001</v>
      </c>
      <c r="M26" s="7" t="str">
        <f>IF(tabla_base[[#This Row],[Rendimiento_por_hectarea_ton]]&gt;tabla_base[[#This Row],[percentil_0,75]],"Sí","No")</f>
        <v>No</v>
      </c>
      <c r="N26" s="3">
        <v>0.7</v>
      </c>
      <c r="O26" t="s">
        <v>44</v>
      </c>
    </row>
    <row r="27" spans="1:15" x14ac:dyDescent="0.35">
      <c r="A27" t="s">
        <v>59</v>
      </c>
      <c r="B27" s="1" t="s">
        <v>39</v>
      </c>
      <c r="C27" s="1" t="s">
        <v>40</v>
      </c>
      <c r="D27" s="1" t="s">
        <v>24</v>
      </c>
      <c r="E27" s="2">
        <v>30.84</v>
      </c>
      <c r="F27" s="3">
        <v>7.4</v>
      </c>
      <c r="G27" s="3">
        <v>32.83</v>
      </c>
      <c r="H27" s="4">
        <v>203.16</v>
      </c>
      <c r="I27" s="3">
        <v>75.959999999999994</v>
      </c>
      <c r="J27" t="s">
        <v>19</v>
      </c>
      <c r="K27" s="5">
        <v>5.0071099999999999</v>
      </c>
      <c r="L27" s="6" cm="1">
        <f t="array" ref="L27">_xlfn.PERCENTILE.INC(_xlfn._xlws.FILTER(tabla_base[Rendimiento_por_hectarea_ton], tabla_base[tipo_cultivo]=tabla_base[[#This Row],[tipo_cultivo]]), 0.75)</f>
        <v>5.3984449999999997</v>
      </c>
      <c r="M27" s="7" t="str">
        <f>IF(tabla_base[[#This Row],[Rendimiento_por_hectarea_ton]]&gt;tabla_base[[#This Row],[percentil_0,75]],"Sí","No")</f>
        <v>No</v>
      </c>
      <c r="N27" s="3">
        <v>0.59</v>
      </c>
      <c r="O27" t="s">
        <v>19</v>
      </c>
    </row>
    <row r="28" spans="1:15" x14ac:dyDescent="0.35">
      <c r="A28" t="s">
        <v>60</v>
      </c>
      <c r="B28" s="1" t="s">
        <v>22</v>
      </c>
      <c r="C28" s="1" t="s">
        <v>30</v>
      </c>
      <c r="D28" s="1" t="s">
        <v>33</v>
      </c>
      <c r="E28" s="2">
        <v>12.71</v>
      </c>
      <c r="F28" s="3">
        <v>6.07</v>
      </c>
      <c r="G28" s="3">
        <v>20.43</v>
      </c>
      <c r="H28" s="4">
        <v>129.93</v>
      </c>
      <c r="I28" s="3">
        <v>67.010000000000005</v>
      </c>
      <c r="J28" t="s">
        <v>25</v>
      </c>
      <c r="K28" s="5">
        <v>3.6594699999999998</v>
      </c>
      <c r="L28" s="6" cm="1">
        <f t="array" ref="L28">_xlfn.PERCENTILE.INC(_xlfn._xlws.FILTER(tabla_base[Rendimiento_por_hectarea_ton], tabla_base[tipo_cultivo]=tabla_base[[#This Row],[tipo_cultivo]]), 0.75)</f>
        <v>5.1635450000000001</v>
      </c>
      <c r="M28" s="7" t="str">
        <f>IF(tabla_base[[#This Row],[Rendimiento_por_hectarea_ton]]&gt;tabla_base[[#This Row],[percentil_0,75]],"Sí","No")</f>
        <v>No</v>
      </c>
      <c r="N28" s="3">
        <v>0.81</v>
      </c>
      <c r="O28" t="s">
        <v>19</v>
      </c>
    </row>
    <row r="29" spans="1:15" x14ac:dyDescent="0.35">
      <c r="A29" t="s">
        <v>61</v>
      </c>
      <c r="B29" s="1" t="s">
        <v>22</v>
      </c>
      <c r="C29" s="1" t="s">
        <v>23</v>
      </c>
      <c r="D29" s="1" t="s">
        <v>24</v>
      </c>
      <c r="E29" s="2">
        <v>43.11</v>
      </c>
      <c r="F29" s="3">
        <v>5.54</v>
      </c>
      <c r="G29" s="3">
        <v>32.61</v>
      </c>
      <c r="H29" s="4">
        <v>193.92</v>
      </c>
      <c r="I29" s="3">
        <v>63.85</v>
      </c>
      <c r="J29" t="s">
        <v>37</v>
      </c>
      <c r="K29" s="5">
        <v>4.9385399999999997</v>
      </c>
      <c r="L29" s="6" cm="1">
        <f t="array" ref="L29">_xlfn.PERCENTILE.INC(_xlfn._xlws.FILTER(tabla_base[Rendimiento_por_hectarea_ton], tabla_base[tipo_cultivo]=tabla_base[[#This Row],[tipo_cultivo]]), 0.75)</f>
        <v>5.3984449999999997</v>
      </c>
      <c r="M29" s="7" t="str">
        <f>IF(tabla_base[[#This Row],[Rendimiento_por_hectarea_ton]]&gt;tabla_base[[#This Row],[percentil_0,75]],"Sí","No")</f>
        <v>No</v>
      </c>
      <c r="N29" s="3">
        <v>0.66</v>
      </c>
      <c r="O29" t="s">
        <v>20</v>
      </c>
    </row>
    <row r="30" spans="1:15" x14ac:dyDescent="0.35">
      <c r="A30" t="s">
        <v>62</v>
      </c>
      <c r="B30" s="1" t="s">
        <v>22</v>
      </c>
      <c r="C30" s="1" t="s">
        <v>30</v>
      </c>
      <c r="D30" s="1" t="s">
        <v>33</v>
      </c>
      <c r="E30" s="2">
        <v>35.35</v>
      </c>
      <c r="F30" s="3">
        <v>7.18</v>
      </c>
      <c r="G30" s="3">
        <v>33.39</v>
      </c>
      <c r="H30" s="4">
        <v>295.18</v>
      </c>
      <c r="I30" s="3">
        <v>66.709999999999994</v>
      </c>
      <c r="J30" t="s">
        <v>28</v>
      </c>
      <c r="K30" s="5">
        <v>2.7269200000000002</v>
      </c>
      <c r="L30" s="6" cm="1">
        <f t="array" ref="L30">_xlfn.PERCENTILE.INC(_xlfn._xlws.FILTER(tabla_base[Rendimiento_por_hectarea_ton], tabla_base[tipo_cultivo]=tabla_base[[#This Row],[tipo_cultivo]]), 0.75)</f>
        <v>5.1635450000000001</v>
      </c>
      <c r="M30" s="7" t="str">
        <f>IF(tabla_base[[#This Row],[Rendimiento_por_hectarea_ton]]&gt;tabla_base[[#This Row],[percentil_0,75]],"Sí","No")</f>
        <v>No</v>
      </c>
      <c r="N30" s="3">
        <v>0.76</v>
      </c>
      <c r="O30" t="s">
        <v>19</v>
      </c>
    </row>
    <row r="31" spans="1:15" x14ac:dyDescent="0.35">
      <c r="A31" t="s">
        <v>63</v>
      </c>
      <c r="B31" s="1" t="s">
        <v>22</v>
      </c>
      <c r="C31" s="1" t="s">
        <v>30</v>
      </c>
      <c r="D31" s="1" t="s">
        <v>33</v>
      </c>
      <c r="E31" s="2">
        <v>18.829999999999998</v>
      </c>
      <c r="F31" s="3">
        <v>5.66</v>
      </c>
      <c r="G31" s="3">
        <v>15.39</v>
      </c>
      <c r="H31" s="4">
        <v>184.85</v>
      </c>
      <c r="I31" s="3">
        <v>90</v>
      </c>
      <c r="J31" t="s">
        <v>28</v>
      </c>
      <c r="K31" s="5">
        <v>5.3569199999999997</v>
      </c>
      <c r="L31" s="6" cm="1">
        <f t="array" ref="L31">_xlfn.PERCENTILE.INC(_xlfn._xlws.FILTER(tabla_base[Rendimiento_por_hectarea_ton], tabla_base[tipo_cultivo]=tabla_base[[#This Row],[tipo_cultivo]]), 0.75)</f>
        <v>5.1635450000000001</v>
      </c>
      <c r="M31" s="7" t="str">
        <f>IF(tabla_base[[#This Row],[Rendimiento_por_hectarea_ton]]&gt;tabla_base[[#This Row],[percentil_0,75]],"Sí","No")</f>
        <v>Sí</v>
      </c>
      <c r="N31" s="3">
        <v>0.72</v>
      </c>
      <c r="O31" t="s">
        <v>44</v>
      </c>
    </row>
    <row r="32" spans="1:15" x14ac:dyDescent="0.35">
      <c r="A32" t="s">
        <v>64</v>
      </c>
      <c r="B32" s="1" t="s">
        <v>22</v>
      </c>
      <c r="C32" s="1" t="s">
        <v>23</v>
      </c>
      <c r="D32" s="1" t="s">
        <v>31</v>
      </c>
      <c r="E32" s="2">
        <v>36.840000000000003</v>
      </c>
      <c r="F32" s="3">
        <v>5.84</v>
      </c>
      <c r="G32" s="3">
        <v>27.14</v>
      </c>
      <c r="H32" s="4">
        <v>236.98</v>
      </c>
      <c r="I32" s="3">
        <v>45.73</v>
      </c>
      <c r="J32" t="s">
        <v>37</v>
      </c>
      <c r="K32" s="5">
        <v>5.6321000000000003</v>
      </c>
      <c r="L32" s="6" cm="1">
        <f t="array" ref="L32">_xlfn.PERCENTILE.INC(_xlfn._xlws.FILTER(tabla_base[Rendimiento_por_hectarea_ton], tabla_base[tipo_cultivo]=tabla_base[[#This Row],[tipo_cultivo]]), 0.75)</f>
        <v>5.1742550000000005</v>
      </c>
      <c r="M32" s="7" t="str">
        <f>IF(tabla_base[[#This Row],[Rendimiento_por_hectarea_ton]]&gt;tabla_base[[#This Row],[percentil_0,75]],"Sí","No")</f>
        <v>Sí</v>
      </c>
      <c r="N32" s="3">
        <v>0.33</v>
      </c>
      <c r="O32" t="s">
        <v>26</v>
      </c>
    </row>
    <row r="33" spans="1:15" x14ac:dyDescent="0.35">
      <c r="A33" t="s">
        <v>65</v>
      </c>
      <c r="B33" s="1" t="s">
        <v>16</v>
      </c>
      <c r="C33" s="1" t="s">
        <v>17</v>
      </c>
      <c r="D33" s="1" t="s">
        <v>31</v>
      </c>
      <c r="E33" s="2">
        <v>39.76</v>
      </c>
      <c r="F33" s="3">
        <v>6.7</v>
      </c>
      <c r="G33" s="3">
        <v>17.420000000000002</v>
      </c>
      <c r="H33" s="4">
        <v>295.95999999999998</v>
      </c>
      <c r="I33" s="3">
        <v>79.13</v>
      </c>
      <c r="J33" t="s">
        <v>19</v>
      </c>
      <c r="K33" s="5">
        <v>2.0506100000000003</v>
      </c>
      <c r="L33" s="6" cm="1">
        <f t="array" ref="L33">_xlfn.PERCENTILE.INC(_xlfn._xlws.FILTER(tabla_base[Rendimiento_por_hectarea_ton], tabla_base[tipo_cultivo]=tabla_base[[#This Row],[tipo_cultivo]]), 0.75)</f>
        <v>5.1742550000000005</v>
      </c>
      <c r="M33" s="7" t="str">
        <f>IF(tabla_base[[#This Row],[Rendimiento_por_hectarea_ton]]&gt;tabla_base[[#This Row],[percentil_0,75]],"Sí","No")</f>
        <v>No</v>
      </c>
      <c r="N33" s="3">
        <v>0.68</v>
      </c>
      <c r="O33" t="s">
        <v>19</v>
      </c>
    </row>
    <row r="34" spans="1:15" x14ac:dyDescent="0.35">
      <c r="A34" t="s">
        <v>66</v>
      </c>
      <c r="B34" s="1" t="s">
        <v>16</v>
      </c>
      <c r="C34" s="1" t="s">
        <v>23</v>
      </c>
      <c r="D34" s="1" t="s">
        <v>33</v>
      </c>
      <c r="E34" s="2">
        <v>16.16</v>
      </c>
      <c r="F34" s="3">
        <v>6.54</v>
      </c>
      <c r="G34" s="3">
        <v>28.01</v>
      </c>
      <c r="H34" s="4">
        <v>203.98</v>
      </c>
      <c r="I34" s="3">
        <v>85.98</v>
      </c>
      <c r="J34" t="s">
        <v>19</v>
      </c>
      <c r="K34" s="5">
        <v>5.4068500000000004</v>
      </c>
      <c r="L34" s="6" cm="1">
        <f t="array" ref="L34">_xlfn.PERCENTILE.INC(_xlfn._xlws.FILTER(tabla_base[Rendimiento_por_hectarea_ton], tabla_base[tipo_cultivo]=tabla_base[[#This Row],[tipo_cultivo]]), 0.75)</f>
        <v>5.1635450000000001</v>
      </c>
      <c r="M34" s="7" t="str">
        <f>IF(tabla_base[[#This Row],[Rendimiento_por_hectarea_ton]]&gt;tabla_base[[#This Row],[percentil_0,75]],"Sí","No")</f>
        <v>Sí</v>
      </c>
      <c r="N34" s="3">
        <v>0.87</v>
      </c>
      <c r="O34" t="s">
        <v>20</v>
      </c>
    </row>
    <row r="35" spans="1:15" x14ac:dyDescent="0.35">
      <c r="A35" t="s">
        <v>67</v>
      </c>
      <c r="B35" s="1" t="s">
        <v>39</v>
      </c>
      <c r="C35" s="1" t="s">
        <v>40</v>
      </c>
      <c r="D35" s="1" t="s">
        <v>24</v>
      </c>
      <c r="E35" s="2">
        <v>33.39</v>
      </c>
      <c r="F35" s="3">
        <v>6.17</v>
      </c>
      <c r="G35" s="3">
        <v>24.89</v>
      </c>
      <c r="H35" s="4">
        <v>131.25</v>
      </c>
      <c r="I35" s="3">
        <v>64.38</v>
      </c>
      <c r="J35" t="s">
        <v>37</v>
      </c>
      <c r="K35" s="5">
        <v>3.10507</v>
      </c>
      <c r="L35" s="6" cm="1">
        <f t="array" ref="L35">_xlfn.PERCENTILE.INC(_xlfn._xlws.FILTER(tabla_base[Rendimiento_por_hectarea_ton], tabla_base[tipo_cultivo]=tabla_base[[#This Row],[tipo_cultivo]]), 0.75)</f>
        <v>5.3984449999999997</v>
      </c>
      <c r="M35" s="7" t="str">
        <f>IF(tabla_base[[#This Row],[Rendimiento_por_hectarea_ton]]&gt;tabla_base[[#This Row],[percentil_0,75]],"Sí","No")</f>
        <v>No</v>
      </c>
      <c r="N35" s="3">
        <v>0.33</v>
      </c>
      <c r="O35" t="s">
        <v>19</v>
      </c>
    </row>
    <row r="36" spans="1:15" x14ac:dyDescent="0.35">
      <c r="A36" t="s">
        <v>68</v>
      </c>
      <c r="B36" s="1" t="s">
        <v>22</v>
      </c>
      <c r="C36" s="1" t="s">
        <v>23</v>
      </c>
      <c r="D36" s="1" t="s">
        <v>24</v>
      </c>
      <c r="E36" s="2">
        <v>36.54</v>
      </c>
      <c r="F36" s="3">
        <v>6.88</v>
      </c>
      <c r="G36" s="3">
        <v>27.92</v>
      </c>
      <c r="H36" s="4">
        <v>172.71</v>
      </c>
      <c r="I36" s="3">
        <v>79.650000000000006</v>
      </c>
      <c r="J36" t="s">
        <v>25</v>
      </c>
      <c r="K36" s="5">
        <v>3.4760800000000001</v>
      </c>
      <c r="L36" s="6" cm="1">
        <f t="array" ref="L36">_xlfn.PERCENTILE.INC(_xlfn._xlws.FILTER(tabla_base[Rendimiento_por_hectarea_ton], tabla_base[tipo_cultivo]=tabla_base[[#This Row],[tipo_cultivo]]), 0.75)</f>
        <v>5.3984449999999997</v>
      </c>
      <c r="M36" s="7" t="str">
        <f>IF(tabla_base[[#This Row],[Rendimiento_por_hectarea_ton]]&gt;tabla_base[[#This Row],[percentil_0,75]],"Sí","No")</f>
        <v>No</v>
      </c>
      <c r="N36" s="3">
        <v>0.69</v>
      </c>
      <c r="O36" t="s">
        <v>44</v>
      </c>
    </row>
    <row r="37" spans="1:15" x14ac:dyDescent="0.35">
      <c r="A37" t="s">
        <v>69</v>
      </c>
      <c r="B37" s="1" t="s">
        <v>22</v>
      </c>
      <c r="C37" s="1" t="s">
        <v>30</v>
      </c>
      <c r="D37" s="1" t="s">
        <v>31</v>
      </c>
      <c r="E37" s="2">
        <v>18.8</v>
      </c>
      <c r="F37" s="3">
        <v>5.74</v>
      </c>
      <c r="G37" s="3">
        <v>18.850000000000001</v>
      </c>
      <c r="H37" s="4">
        <v>79.89</v>
      </c>
      <c r="I37" s="3">
        <v>66.790000000000006</v>
      </c>
      <c r="J37" t="s">
        <v>25</v>
      </c>
      <c r="K37" s="5">
        <v>4.3583500000000006</v>
      </c>
      <c r="L37" s="6" cm="1">
        <f t="array" ref="L37">_xlfn.PERCENTILE.INC(_xlfn._xlws.FILTER(tabla_base[Rendimiento_por_hectarea_ton], tabla_base[tipo_cultivo]=tabla_base[[#This Row],[tipo_cultivo]]), 0.75)</f>
        <v>5.1742550000000005</v>
      </c>
      <c r="M37" s="7" t="str">
        <f>IF(tabla_base[[#This Row],[Rendimiento_por_hectarea_ton]]&gt;tabla_base[[#This Row],[percentil_0,75]],"Sí","No")</f>
        <v>No</v>
      </c>
      <c r="N37" s="3">
        <v>0.77</v>
      </c>
      <c r="O37" t="s">
        <v>26</v>
      </c>
    </row>
    <row r="38" spans="1:15" x14ac:dyDescent="0.35">
      <c r="A38" t="s">
        <v>70</v>
      </c>
      <c r="B38" s="1" t="s">
        <v>16</v>
      </c>
      <c r="C38" s="1" t="s">
        <v>23</v>
      </c>
      <c r="D38" s="1" t="s">
        <v>31</v>
      </c>
      <c r="E38" s="2">
        <v>16.28</v>
      </c>
      <c r="F38" s="3">
        <v>5.53</v>
      </c>
      <c r="G38" s="3">
        <v>25.68</v>
      </c>
      <c r="H38" s="4">
        <v>118.58</v>
      </c>
      <c r="I38" s="3">
        <v>88.71</v>
      </c>
      <c r="J38" t="s">
        <v>25</v>
      </c>
      <c r="K38" s="5">
        <v>2.0490599999999999</v>
      </c>
      <c r="L38" s="6" cm="1">
        <f t="array" ref="L38">_xlfn.PERCENTILE.INC(_xlfn._xlws.FILTER(tabla_base[Rendimiento_por_hectarea_ton], tabla_base[tipo_cultivo]=tabla_base[[#This Row],[tipo_cultivo]]), 0.75)</f>
        <v>5.1742550000000005</v>
      </c>
      <c r="M38" s="7" t="str">
        <f>IF(tabla_base[[#This Row],[Rendimiento_por_hectarea_ton]]&gt;tabla_base[[#This Row],[percentil_0,75]],"Sí","No")</f>
        <v>No</v>
      </c>
      <c r="N38" s="3">
        <v>0.67</v>
      </c>
      <c r="O38" t="s">
        <v>19</v>
      </c>
    </row>
    <row r="39" spans="1:15" x14ac:dyDescent="0.35">
      <c r="A39" t="s">
        <v>71</v>
      </c>
      <c r="B39" s="1" t="s">
        <v>22</v>
      </c>
      <c r="C39" s="1" t="s">
        <v>30</v>
      </c>
      <c r="D39" s="1" t="s">
        <v>33</v>
      </c>
      <c r="E39" s="2">
        <v>13.99</v>
      </c>
      <c r="F39" s="3">
        <v>5.63</v>
      </c>
      <c r="G39" s="3">
        <v>24.83</v>
      </c>
      <c r="H39" s="4">
        <v>194.26</v>
      </c>
      <c r="I39" s="3">
        <v>74.319999999999993</v>
      </c>
      <c r="J39" t="s">
        <v>37</v>
      </c>
      <c r="K39" s="5">
        <v>3.6646999999999998</v>
      </c>
      <c r="L39" s="6" cm="1">
        <f t="array" ref="L39">_xlfn.PERCENTILE.INC(_xlfn._xlws.FILTER(tabla_base[Rendimiento_por_hectarea_ton], tabla_base[tipo_cultivo]=tabla_base[[#This Row],[tipo_cultivo]]), 0.75)</f>
        <v>5.1635450000000001</v>
      </c>
      <c r="M39" s="7" t="str">
        <f>IF(tabla_base[[#This Row],[Rendimiento_por_hectarea_ton]]&gt;tabla_base[[#This Row],[percentil_0,75]],"Sí","No")</f>
        <v>No</v>
      </c>
      <c r="N39" s="3">
        <v>0.35</v>
      </c>
      <c r="O39" t="s">
        <v>20</v>
      </c>
    </row>
    <row r="40" spans="1:15" x14ac:dyDescent="0.35">
      <c r="A40" t="s">
        <v>72</v>
      </c>
      <c r="B40" s="1" t="s">
        <v>39</v>
      </c>
      <c r="C40" s="1" t="s">
        <v>40</v>
      </c>
      <c r="D40" s="1" t="s">
        <v>33</v>
      </c>
      <c r="E40" s="2">
        <v>20.69</v>
      </c>
      <c r="F40" s="3">
        <v>6.74</v>
      </c>
      <c r="G40" s="3">
        <v>27.19</v>
      </c>
      <c r="H40" s="4">
        <v>235.02</v>
      </c>
      <c r="I40" s="3">
        <v>87.38</v>
      </c>
      <c r="J40" t="s">
        <v>25</v>
      </c>
      <c r="K40" s="5">
        <v>4.2079700000000004</v>
      </c>
      <c r="L40" s="6" cm="1">
        <f t="array" ref="L40">_xlfn.PERCENTILE.INC(_xlfn._xlws.FILTER(tabla_base[Rendimiento_por_hectarea_ton], tabla_base[tipo_cultivo]=tabla_base[[#This Row],[tipo_cultivo]]), 0.75)</f>
        <v>5.1635450000000001</v>
      </c>
      <c r="M40" s="7" t="str">
        <f>IF(tabla_base[[#This Row],[Rendimiento_por_hectarea_ton]]&gt;tabla_base[[#This Row],[percentil_0,75]],"Sí","No")</f>
        <v>No</v>
      </c>
      <c r="N40" s="3">
        <v>0.81</v>
      </c>
      <c r="O40" t="s">
        <v>19</v>
      </c>
    </row>
    <row r="41" spans="1:15" x14ac:dyDescent="0.35">
      <c r="A41" t="s">
        <v>73</v>
      </c>
      <c r="B41" s="1" t="s">
        <v>16</v>
      </c>
      <c r="C41" s="1" t="s">
        <v>17</v>
      </c>
      <c r="D41" s="1" t="s">
        <v>35</v>
      </c>
      <c r="E41" s="2">
        <v>20.079999999999998</v>
      </c>
      <c r="F41" s="3">
        <v>6.07</v>
      </c>
      <c r="G41" s="3">
        <v>32.19</v>
      </c>
      <c r="H41" s="4">
        <v>67.790000000000006</v>
      </c>
      <c r="I41" s="3">
        <v>51.67</v>
      </c>
      <c r="J41" t="s">
        <v>25</v>
      </c>
      <c r="K41" s="5">
        <v>5.6336499999999994</v>
      </c>
      <c r="L41" s="6" cm="1">
        <f t="array" ref="L41">_xlfn.PERCENTILE.INC(_xlfn._xlws.FILTER(tabla_base[Rendimiento_por_hectarea_ton], tabla_base[tipo_cultivo]=tabla_base[[#This Row],[tipo_cultivo]]), 0.75)</f>
        <v>5.1318025</v>
      </c>
      <c r="M41" s="7" t="str">
        <f>IF(tabla_base[[#This Row],[Rendimiento_por_hectarea_ton]]&gt;tabla_base[[#This Row],[percentil_0,75]],"Sí","No")</f>
        <v>Sí</v>
      </c>
      <c r="N41" s="3">
        <v>0.56999999999999995</v>
      </c>
      <c r="O41" t="s">
        <v>44</v>
      </c>
    </row>
    <row r="42" spans="1:15" x14ac:dyDescent="0.35">
      <c r="A42" t="s">
        <v>74</v>
      </c>
      <c r="B42" s="1" t="s">
        <v>22</v>
      </c>
      <c r="C42" s="1" t="s">
        <v>23</v>
      </c>
      <c r="D42" s="1" t="s">
        <v>18</v>
      </c>
      <c r="E42" s="2">
        <v>26.4</v>
      </c>
      <c r="F42" s="3">
        <v>6.11</v>
      </c>
      <c r="G42" s="3">
        <v>23.05</v>
      </c>
      <c r="H42" s="4">
        <v>118.06</v>
      </c>
      <c r="I42" s="3">
        <v>67</v>
      </c>
      <c r="J42" t="s">
        <v>28</v>
      </c>
      <c r="K42" s="5">
        <v>2.36531</v>
      </c>
      <c r="L42" s="6" cm="1">
        <f t="array" ref="L42">_xlfn.PERCENTILE.INC(_xlfn._xlws.FILTER(tabla_base[Rendimiento_por_hectarea_ton], tabla_base[tipo_cultivo]=tabla_base[[#This Row],[tipo_cultivo]]), 0.75)</f>
        <v>5.2079399999999998</v>
      </c>
      <c r="M42" s="7" t="str">
        <f>IF(tabla_base[[#This Row],[Rendimiento_por_hectarea_ton]]&gt;tabla_base[[#This Row],[percentil_0,75]],"Sí","No")</f>
        <v>No</v>
      </c>
      <c r="N42" s="3">
        <v>0.45</v>
      </c>
      <c r="O42" t="s">
        <v>19</v>
      </c>
    </row>
    <row r="43" spans="1:15" x14ac:dyDescent="0.35">
      <c r="A43" t="s">
        <v>75</v>
      </c>
      <c r="B43" s="1" t="s">
        <v>39</v>
      </c>
      <c r="C43" s="1" t="s">
        <v>40</v>
      </c>
      <c r="D43" s="1" t="s">
        <v>18</v>
      </c>
      <c r="E43" s="2">
        <v>36.71</v>
      </c>
      <c r="F43" s="3">
        <v>5.85</v>
      </c>
      <c r="G43" s="3">
        <v>25.38</v>
      </c>
      <c r="H43" s="4">
        <v>160.56</v>
      </c>
      <c r="I43" s="3">
        <v>53.91</v>
      </c>
      <c r="J43" t="s">
        <v>19</v>
      </c>
      <c r="K43" s="5">
        <v>3.6333899999999999</v>
      </c>
      <c r="L43" s="6" cm="1">
        <f t="array" ref="L43">_xlfn.PERCENTILE.INC(_xlfn._xlws.FILTER(tabla_base[Rendimiento_por_hectarea_ton], tabla_base[tipo_cultivo]=tabla_base[[#This Row],[tipo_cultivo]]), 0.75)</f>
        <v>5.2079399999999998</v>
      </c>
      <c r="M43" s="7" t="str">
        <f>IF(tabla_base[[#This Row],[Rendimiento_por_hectarea_ton]]&gt;tabla_base[[#This Row],[percentil_0,75]],"Sí","No")</f>
        <v>No</v>
      </c>
      <c r="N43" s="3">
        <v>0.37</v>
      </c>
      <c r="O43" t="s">
        <v>26</v>
      </c>
    </row>
    <row r="44" spans="1:15" x14ac:dyDescent="0.35">
      <c r="A44" t="s">
        <v>76</v>
      </c>
      <c r="B44" s="1" t="s">
        <v>22</v>
      </c>
      <c r="C44" s="1" t="s">
        <v>30</v>
      </c>
      <c r="D44" s="1" t="s">
        <v>33</v>
      </c>
      <c r="E44" s="2">
        <v>38.47</v>
      </c>
      <c r="F44" s="3">
        <v>6.6</v>
      </c>
      <c r="G44" s="3">
        <v>24.1</v>
      </c>
      <c r="H44" s="4">
        <v>128.63</v>
      </c>
      <c r="I44" s="3">
        <v>56.16</v>
      </c>
      <c r="J44" t="s">
        <v>19</v>
      </c>
      <c r="K44" s="5">
        <v>4.1703700000000001</v>
      </c>
      <c r="L44" s="6" cm="1">
        <f t="array" ref="L44">_xlfn.PERCENTILE.INC(_xlfn._xlws.FILTER(tabla_base[Rendimiento_por_hectarea_ton], tabla_base[tipo_cultivo]=tabla_base[[#This Row],[tipo_cultivo]]), 0.75)</f>
        <v>5.1635450000000001</v>
      </c>
      <c r="M44" s="7" t="str">
        <f>IF(tabla_base[[#This Row],[Rendimiento_por_hectarea_ton]]&gt;tabla_base[[#This Row],[percentil_0,75]],"Sí","No")</f>
        <v>No</v>
      </c>
      <c r="N44" s="3">
        <v>0.85</v>
      </c>
      <c r="O44" t="s">
        <v>44</v>
      </c>
    </row>
    <row r="45" spans="1:15" x14ac:dyDescent="0.35">
      <c r="A45" t="s">
        <v>77</v>
      </c>
      <c r="B45" s="1" t="s">
        <v>22</v>
      </c>
      <c r="C45" s="1" t="s">
        <v>23</v>
      </c>
      <c r="D45" s="1" t="s">
        <v>18</v>
      </c>
      <c r="E45" s="2">
        <v>17.12</v>
      </c>
      <c r="F45" s="3">
        <v>6.6</v>
      </c>
      <c r="G45" s="3">
        <v>33.549999999999997</v>
      </c>
      <c r="H45" s="4">
        <v>159.53</v>
      </c>
      <c r="I45" s="3">
        <v>74.91</v>
      </c>
      <c r="J45" t="s">
        <v>25</v>
      </c>
      <c r="K45" s="5">
        <v>3.6319599999999999</v>
      </c>
      <c r="L45" s="6" cm="1">
        <f t="array" ref="L45">_xlfn.PERCENTILE.INC(_xlfn._xlws.FILTER(tabla_base[Rendimiento_por_hectarea_ton], tabla_base[tipo_cultivo]=tabla_base[[#This Row],[tipo_cultivo]]), 0.75)</f>
        <v>5.2079399999999998</v>
      </c>
      <c r="M45" s="7" t="str">
        <f>IF(tabla_base[[#This Row],[Rendimiento_por_hectarea_ton]]&gt;tabla_base[[#This Row],[percentil_0,75]],"Sí","No")</f>
        <v>No</v>
      </c>
      <c r="N45" s="3">
        <v>0.68</v>
      </c>
      <c r="O45" t="s">
        <v>44</v>
      </c>
    </row>
    <row r="46" spans="1:15" x14ac:dyDescent="0.35">
      <c r="A46" t="s">
        <v>78</v>
      </c>
      <c r="B46" s="1" t="s">
        <v>16</v>
      </c>
      <c r="C46" s="1" t="s">
        <v>23</v>
      </c>
      <c r="D46" s="1" t="s">
        <v>33</v>
      </c>
      <c r="E46" s="2">
        <v>42.64</v>
      </c>
      <c r="F46" s="3">
        <v>6.08</v>
      </c>
      <c r="G46" s="3">
        <v>29.11</v>
      </c>
      <c r="H46" s="4">
        <v>153.87</v>
      </c>
      <c r="I46" s="3">
        <v>64.12</v>
      </c>
      <c r="J46" t="s">
        <v>19</v>
      </c>
      <c r="K46" s="5">
        <v>4.9851700000000001</v>
      </c>
      <c r="L46" s="6" cm="1">
        <f t="array" ref="L46">_xlfn.PERCENTILE.INC(_xlfn._xlws.FILTER(tabla_base[Rendimiento_por_hectarea_ton], tabla_base[tipo_cultivo]=tabla_base[[#This Row],[tipo_cultivo]]), 0.75)</f>
        <v>5.1635450000000001</v>
      </c>
      <c r="M46" s="7" t="str">
        <f>IF(tabla_base[[#This Row],[Rendimiento_por_hectarea_ton]]&gt;tabla_base[[#This Row],[percentil_0,75]],"Sí","No")</f>
        <v>No</v>
      </c>
      <c r="N46" s="3">
        <v>0.74</v>
      </c>
      <c r="O46" t="s">
        <v>26</v>
      </c>
    </row>
    <row r="47" spans="1:15" x14ac:dyDescent="0.35">
      <c r="A47" t="s">
        <v>79</v>
      </c>
      <c r="B47" s="1" t="s">
        <v>22</v>
      </c>
      <c r="C47" s="1" t="s">
        <v>30</v>
      </c>
      <c r="D47" s="1" t="s">
        <v>24</v>
      </c>
      <c r="E47" s="2">
        <v>19.350000000000001</v>
      </c>
      <c r="F47" s="3">
        <v>5.51</v>
      </c>
      <c r="G47" s="3">
        <v>29.52</v>
      </c>
      <c r="H47" s="4">
        <v>259.37</v>
      </c>
      <c r="I47" s="3">
        <v>69</v>
      </c>
      <c r="J47" t="s">
        <v>25</v>
      </c>
      <c r="K47" s="5">
        <v>5.0514899999999994</v>
      </c>
      <c r="L47" s="6" cm="1">
        <f t="array" ref="L47">_xlfn.PERCENTILE.INC(_xlfn._xlws.FILTER(tabla_base[Rendimiento_por_hectarea_ton], tabla_base[tipo_cultivo]=tabla_base[[#This Row],[tipo_cultivo]]), 0.75)</f>
        <v>5.3984449999999997</v>
      </c>
      <c r="M47" s="7" t="str">
        <f>IF(tabla_base[[#This Row],[Rendimiento_por_hectarea_ton]]&gt;tabla_base[[#This Row],[percentil_0,75]],"Sí","No")</f>
        <v>No</v>
      </c>
      <c r="N47" s="3">
        <v>0.65</v>
      </c>
      <c r="O47" t="s">
        <v>19</v>
      </c>
    </row>
    <row r="48" spans="1:15" x14ac:dyDescent="0.35">
      <c r="A48" t="s">
        <v>80</v>
      </c>
      <c r="B48" s="1" t="s">
        <v>39</v>
      </c>
      <c r="C48" s="1" t="s">
        <v>40</v>
      </c>
      <c r="D48" s="1" t="s">
        <v>33</v>
      </c>
      <c r="E48" s="2">
        <v>18.170000000000002</v>
      </c>
      <c r="F48" s="3">
        <v>7.05</v>
      </c>
      <c r="G48" s="3">
        <v>15.87</v>
      </c>
      <c r="H48" s="4">
        <v>236.18</v>
      </c>
      <c r="I48" s="3">
        <v>75.260000000000005</v>
      </c>
      <c r="J48" t="s">
        <v>19</v>
      </c>
      <c r="K48" s="5">
        <v>5.8593000000000002</v>
      </c>
      <c r="L48" s="6" cm="1">
        <f t="array" ref="L48">_xlfn.PERCENTILE.INC(_xlfn._xlws.FILTER(tabla_base[Rendimiento_por_hectarea_ton], tabla_base[tipo_cultivo]=tabla_base[[#This Row],[tipo_cultivo]]), 0.75)</f>
        <v>5.1635450000000001</v>
      </c>
      <c r="M48" s="7" t="str">
        <f>IF(tabla_base[[#This Row],[Rendimiento_por_hectarea_ton]]&gt;tabla_base[[#This Row],[percentil_0,75]],"Sí","No")</f>
        <v>Sí</v>
      </c>
      <c r="N48" s="3">
        <v>0.74</v>
      </c>
      <c r="O48" t="s">
        <v>44</v>
      </c>
    </row>
    <row r="49" spans="1:15" x14ac:dyDescent="0.35">
      <c r="A49" t="s">
        <v>81</v>
      </c>
      <c r="B49" s="1" t="s">
        <v>16</v>
      </c>
      <c r="C49" s="1" t="s">
        <v>17</v>
      </c>
      <c r="D49" s="1" t="s">
        <v>24</v>
      </c>
      <c r="E49" s="2">
        <v>41.87</v>
      </c>
      <c r="F49" s="3">
        <v>5.53</v>
      </c>
      <c r="G49" s="3">
        <v>17.88</v>
      </c>
      <c r="H49" s="4">
        <v>267.73</v>
      </c>
      <c r="I49" s="3">
        <v>88.5</v>
      </c>
      <c r="J49" t="s">
        <v>37</v>
      </c>
      <c r="K49" s="5">
        <v>5.4070600000000004</v>
      </c>
      <c r="L49" s="6" cm="1">
        <f t="array" ref="L49">_xlfn.PERCENTILE.INC(_xlfn._xlws.FILTER(tabla_base[Rendimiento_por_hectarea_ton], tabla_base[tipo_cultivo]=tabla_base[[#This Row],[tipo_cultivo]]), 0.75)</f>
        <v>5.3984449999999997</v>
      </c>
      <c r="M49" s="7" t="str">
        <f>IF(tabla_base[[#This Row],[Rendimiento_por_hectarea_ton]]&gt;tabla_base[[#This Row],[percentil_0,75]],"Sí","No")</f>
        <v>Sí</v>
      </c>
      <c r="N49" s="3">
        <v>0.31</v>
      </c>
      <c r="O49" t="s">
        <v>44</v>
      </c>
    </row>
    <row r="50" spans="1:15" x14ac:dyDescent="0.35">
      <c r="A50" t="s">
        <v>82</v>
      </c>
      <c r="B50" s="1" t="s">
        <v>39</v>
      </c>
      <c r="C50" s="1" t="s">
        <v>40</v>
      </c>
      <c r="D50" s="1" t="s">
        <v>18</v>
      </c>
      <c r="E50" s="2">
        <v>31.61</v>
      </c>
      <c r="F50" s="3">
        <v>5.97</v>
      </c>
      <c r="G50" s="3">
        <v>28.69</v>
      </c>
      <c r="H50" s="4">
        <v>121.84</v>
      </c>
      <c r="I50" s="3">
        <v>51.37</v>
      </c>
      <c r="J50" t="s">
        <v>28</v>
      </c>
      <c r="K50" s="5">
        <v>4.7759999999999998</v>
      </c>
      <c r="L50" s="6" cm="1">
        <f t="array" ref="L50">_xlfn.PERCENTILE.INC(_xlfn._xlws.FILTER(tabla_base[Rendimiento_por_hectarea_ton], tabla_base[tipo_cultivo]=tabla_base[[#This Row],[tipo_cultivo]]), 0.75)</f>
        <v>5.2079399999999998</v>
      </c>
      <c r="M50" s="7" t="str">
        <f>IF(tabla_base[[#This Row],[Rendimiento_por_hectarea_ton]]&gt;tabla_base[[#This Row],[percentil_0,75]],"Sí","No")</f>
        <v>No</v>
      </c>
      <c r="N50" s="3">
        <v>0.57999999999999996</v>
      </c>
      <c r="O50" t="s">
        <v>26</v>
      </c>
    </row>
    <row r="51" spans="1:15" x14ac:dyDescent="0.35">
      <c r="A51" t="s">
        <v>83</v>
      </c>
      <c r="B51" s="1" t="s">
        <v>22</v>
      </c>
      <c r="C51" s="1" t="s">
        <v>23</v>
      </c>
      <c r="D51" s="1" t="s">
        <v>35</v>
      </c>
      <c r="E51" s="2">
        <v>18.55</v>
      </c>
      <c r="F51" s="3">
        <v>6.32</v>
      </c>
      <c r="G51" s="3">
        <v>28.64</v>
      </c>
      <c r="H51" s="4">
        <v>95.01</v>
      </c>
      <c r="I51" s="3">
        <v>48.75</v>
      </c>
      <c r="J51" t="s">
        <v>19</v>
      </c>
      <c r="K51" s="5">
        <v>2.92875</v>
      </c>
      <c r="L51" s="6" cm="1">
        <f t="array" ref="L51">_xlfn.PERCENTILE.INC(_xlfn._xlws.FILTER(tabla_base[Rendimiento_por_hectarea_ton], tabla_base[tipo_cultivo]=tabla_base[[#This Row],[tipo_cultivo]]), 0.75)</f>
        <v>5.1318025</v>
      </c>
      <c r="M51" s="7" t="str">
        <f>IF(tabla_base[[#This Row],[Rendimiento_por_hectarea_ton]]&gt;tabla_base[[#This Row],[percentil_0,75]],"Sí","No")</f>
        <v>No</v>
      </c>
      <c r="N51" s="3">
        <v>0.9</v>
      </c>
      <c r="O51" t="s">
        <v>19</v>
      </c>
    </row>
    <row r="52" spans="1:15" x14ac:dyDescent="0.35">
      <c r="A52" t="s">
        <v>84</v>
      </c>
      <c r="B52" s="1" t="s">
        <v>22</v>
      </c>
      <c r="C52" s="1" t="s">
        <v>30</v>
      </c>
      <c r="D52" s="1" t="s">
        <v>24</v>
      </c>
      <c r="E52" s="2">
        <v>15.53</v>
      </c>
      <c r="F52" s="3">
        <v>6.38</v>
      </c>
      <c r="G52" s="3">
        <v>21.91</v>
      </c>
      <c r="H52" s="4">
        <v>196.89</v>
      </c>
      <c r="I52" s="3">
        <v>71.95</v>
      </c>
      <c r="J52" t="s">
        <v>37</v>
      </c>
      <c r="K52" s="5">
        <v>3.93283</v>
      </c>
      <c r="L52" s="6" cm="1">
        <f t="array" ref="L52">_xlfn.PERCENTILE.INC(_xlfn._xlws.FILTER(tabla_base[Rendimiento_por_hectarea_ton], tabla_base[tipo_cultivo]=tabla_base[[#This Row],[tipo_cultivo]]), 0.75)</f>
        <v>5.3984449999999997</v>
      </c>
      <c r="M52" s="7" t="str">
        <f>IF(tabla_base[[#This Row],[Rendimiento_por_hectarea_ton]]&gt;tabla_base[[#This Row],[percentil_0,75]],"Sí","No")</f>
        <v>No</v>
      </c>
      <c r="N52" s="3">
        <v>0.56999999999999995</v>
      </c>
      <c r="O52" t="s">
        <v>44</v>
      </c>
    </row>
    <row r="53" spans="1:15" x14ac:dyDescent="0.35">
      <c r="A53" t="s">
        <v>85</v>
      </c>
      <c r="B53" s="1" t="s">
        <v>16</v>
      </c>
      <c r="C53" s="1" t="s">
        <v>17</v>
      </c>
      <c r="D53" s="1" t="s">
        <v>33</v>
      </c>
      <c r="E53" s="2">
        <v>19.61</v>
      </c>
      <c r="F53" s="3">
        <v>6.63</v>
      </c>
      <c r="G53" s="3">
        <v>28.72</v>
      </c>
      <c r="H53" s="4">
        <v>236.17</v>
      </c>
      <c r="I53" s="3">
        <v>42.45</v>
      </c>
      <c r="J53" t="s">
        <v>19</v>
      </c>
      <c r="K53" s="5">
        <v>3.4092800000000003</v>
      </c>
      <c r="L53" s="6" cm="1">
        <f t="array" ref="L53">_xlfn.PERCENTILE.INC(_xlfn._xlws.FILTER(tabla_base[Rendimiento_por_hectarea_ton], tabla_base[tipo_cultivo]=tabla_base[[#This Row],[tipo_cultivo]]), 0.75)</f>
        <v>5.1635450000000001</v>
      </c>
      <c r="M53" s="7" t="str">
        <f>IF(tabla_base[[#This Row],[Rendimiento_por_hectarea_ton]]&gt;tabla_base[[#This Row],[percentil_0,75]],"Sí","No")</f>
        <v>No</v>
      </c>
      <c r="N53" s="3">
        <v>0.76</v>
      </c>
      <c r="O53" t="s">
        <v>44</v>
      </c>
    </row>
    <row r="54" spans="1:15" x14ac:dyDescent="0.35">
      <c r="A54" t="s">
        <v>86</v>
      </c>
      <c r="B54" s="1" t="s">
        <v>16</v>
      </c>
      <c r="C54" s="1" t="s">
        <v>17</v>
      </c>
      <c r="D54" s="1" t="s">
        <v>18</v>
      </c>
      <c r="E54" s="2">
        <v>20.81</v>
      </c>
      <c r="F54" s="3">
        <v>6.38</v>
      </c>
      <c r="G54" s="3">
        <v>26.59</v>
      </c>
      <c r="H54" s="4">
        <v>233.09</v>
      </c>
      <c r="I54" s="3">
        <v>44.51</v>
      </c>
      <c r="J54" t="s">
        <v>19</v>
      </c>
      <c r="K54" s="5">
        <v>4.00718</v>
      </c>
      <c r="L54" s="6" cm="1">
        <f t="array" ref="L54">_xlfn.PERCENTILE.INC(_xlfn._xlws.FILTER(tabla_base[Rendimiento_por_hectarea_ton], tabla_base[tipo_cultivo]=tabla_base[[#This Row],[tipo_cultivo]]), 0.75)</f>
        <v>5.2079399999999998</v>
      </c>
      <c r="M54" s="7" t="str">
        <f>IF(tabla_base[[#This Row],[Rendimiento_por_hectarea_ton]]&gt;tabla_base[[#This Row],[percentil_0,75]],"Sí","No")</f>
        <v>No</v>
      </c>
      <c r="N54" s="3">
        <v>0.88</v>
      </c>
      <c r="O54" t="s">
        <v>26</v>
      </c>
    </row>
    <row r="55" spans="1:15" x14ac:dyDescent="0.35">
      <c r="A55" t="s">
        <v>87</v>
      </c>
      <c r="B55" s="1" t="s">
        <v>22</v>
      </c>
      <c r="C55" s="1" t="s">
        <v>30</v>
      </c>
      <c r="D55" s="1" t="s">
        <v>31</v>
      </c>
      <c r="E55" s="2">
        <v>38.15</v>
      </c>
      <c r="F55" s="3">
        <v>6.44</v>
      </c>
      <c r="G55" s="3">
        <v>16.510000000000002</v>
      </c>
      <c r="H55" s="4">
        <v>238.54</v>
      </c>
      <c r="I55" s="3">
        <v>51.28</v>
      </c>
      <c r="J55" t="s">
        <v>19</v>
      </c>
      <c r="K55" s="5">
        <v>4.1462899999999996</v>
      </c>
      <c r="L55" s="6" cm="1">
        <f t="array" ref="L55">_xlfn.PERCENTILE.INC(_xlfn._xlws.FILTER(tabla_base[Rendimiento_por_hectarea_ton], tabla_base[tipo_cultivo]=tabla_base[[#This Row],[tipo_cultivo]]), 0.75)</f>
        <v>5.1742550000000005</v>
      </c>
      <c r="M55" s="7" t="str">
        <f>IF(tabla_base[[#This Row],[Rendimiento_por_hectarea_ton]]&gt;tabla_base[[#This Row],[percentil_0,75]],"Sí","No")</f>
        <v>No</v>
      </c>
      <c r="N55" s="3">
        <v>0.69</v>
      </c>
      <c r="O55" t="s">
        <v>26</v>
      </c>
    </row>
    <row r="56" spans="1:15" x14ac:dyDescent="0.35">
      <c r="A56" t="s">
        <v>88</v>
      </c>
      <c r="B56" s="1" t="s">
        <v>22</v>
      </c>
      <c r="C56" s="1" t="s">
        <v>30</v>
      </c>
      <c r="D56" s="1" t="s">
        <v>18</v>
      </c>
      <c r="E56" s="2">
        <v>33.619999999999997</v>
      </c>
      <c r="F56" s="3">
        <v>6.44</v>
      </c>
      <c r="G56" s="3">
        <v>27.39</v>
      </c>
      <c r="H56" s="4">
        <v>285.79000000000002</v>
      </c>
      <c r="I56" s="3">
        <v>56.4</v>
      </c>
      <c r="J56" t="s">
        <v>28</v>
      </c>
      <c r="K56" s="5">
        <v>3.6331799999999999</v>
      </c>
      <c r="L56" s="6" cm="1">
        <f t="array" ref="L56">_xlfn.PERCENTILE.INC(_xlfn._xlws.FILTER(tabla_base[Rendimiento_por_hectarea_ton], tabla_base[tipo_cultivo]=tabla_base[[#This Row],[tipo_cultivo]]), 0.75)</f>
        <v>5.2079399999999998</v>
      </c>
      <c r="M56" s="7" t="str">
        <f>IF(tabla_base[[#This Row],[Rendimiento_por_hectarea_ton]]&gt;tabla_base[[#This Row],[percentil_0,75]],"Sí","No")</f>
        <v>No</v>
      </c>
      <c r="N56" s="3">
        <v>0.63</v>
      </c>
      <c r="O56" t="s">
        <v>20</v>
      </c>
    </row>
    <row r="57" spans="1:15" x14ac:dyDescent="0.35">
      <c r="A57" t="s">
        <v>89</v>
      </c>
      <c r="B57" s="1" t="s">
        <v>16</v>
      </c>
      <c r="C57" s="1" t="s">
        <v>17</v>
      </c>
      <c r="D57" s="1" t="s">
        <v>35</v>
      </c>
      <c r="E57" s="2">
        <v>41.05</v>
      </c>
      <c r="F57" s="3">
        <v>5.77</v>
      </c>
      <c r="G57" s="3">
        <v>24.07</v>
      </c>
      <c r="H57" s="4">
        <v>217.62</v>
      </c>
      <c r="I57" s="3">
        <v>77.16</v>
      </c>
      <c r="J57" t="s">
        <v>19</v>
      </c>
      <c r="K57" s="5">
        <v>2.3960900000000001</v>
      </c>
      <c r="L57" s="6" cm="1">
        <f t="array" ref="L57">_xlfn.PERCENTILE.INC(_xlfn._xlws.FILTER(tabla_base[Rendimiento_por_hectarea_ton], tabla_base[tipo_cultivo]=tabla_base[[#This Row],[tipo_cultivo]]), 0.75)</f>
        <v>5.1318025</v>
      </c>
      <c r="M57" s="7" t="str">
        <f>IF(tabla_base[[#This Row],[Rendimiento_por_hectarea_ton]]&gt;tabla_base[[#This Row],[percentil_0,75]],"Sí","No")</f>
        <v>No</v>
      </c>
      <c r="N57" s="3">
        <v>0.72</v>
      </c>
      <c r="O57" t="s">
        <v>20</v>
      </c>
    </row>
    <row r="58" spans="1:15" x14ac:dyDescent="0.35">
      <c r="A58" t="s">
        <v>90</v>
      </c>
      <c r="B58" s="1" t="s">
        <v>16</v>
      </c>
      <c r="C58" s="1" t="s">
        <v>23</v>
      </c>
      <c r="D58" s="1" t="s">
        <v>33</v>
      </c>
      <c r="E58" s="2">
        <v>25.56</v>
      </c>
      <c r="F58" s="3">
        <v>5.97</v>
      </c>
      <c r="G58" s="3">
        <v>22.25</v>
      </c>
      <c r="H58" s="4">
        <v>295.23</v>
      </c>
      <c r="I58" s="3">
        <v>58.37</v>
      </c>
      <c r="J58" t="s">
        <v>37</v>
      </c>
      <c r="K58" s="5">
        <v>5.3921299999999999</v>
      </c>
      <c r="L58" s="6" cm="1">
        <f t="array" ref="L58">_xlfn.PERCENTILE.INC(_xlfn._xlws.FILTER(tabla_base[Rendimiento_por_hectarea_ton], tabla_base[tipo_cultivo]=tabla_base[[#This Row],[tipo_cultivo]]), 0.75)</f>
        <v>5.1635450000000001</v>
      </c>
      <c r="M58" s="7" t="str">
        <f>IF(tabla_base[[#This Row],[Rendimiento_por_hectarea_ton]]&gt;tabla_base[[#This Row],[percentil_0,75]],"Sí","No")</f>
        <v>Sí</v>
      </c>
      <c r="N58" s="3">
        <v>0.47</v>
      </c>
      <c r="O58" t="s">
        <v>26</v>
      </c>
    </row>
    <row r="59" spans="1:15" x14ac:dyDescent="0.35">
      <c r="A59" t="s">
        <v>91</v>
      </c>
      <c r="B59" s="1" t="s">
        <v>16</v>
      </c>
      <c r="C59" s="1" t="s">
        <v>17</v>
      </c>
      <c r="D59" s="1" t="s">
        <v>31</v>
      </c>
      <c r="E59" s="2">
        <v>18.52</v>
      </c>
      <c r="F59" s="3">
        <v>5.75</v>
      </c>
      <c r="G59" s="3">
        <v>26.29</v>
      </c>
      <c r="H59" s="4">
        <v>67.150000000000006</v>
      </c>
      <c r="I59" s="3">
        <v>78.260000000000005</v>
      </c>
      <c r="J59" t="s">
        <v>25</v>
      </c>
      <c r="K59" s="5">
        <v>4.3839300000000003</v>
      </c>
      <c r="L59" s="6" cm="1">
        <f t="array" ref="L59">_xlfn.PERCENTILE.INC(_xlfn._xlws.FILTER(tabla_base[Rendimiento_por_hectarea_ton], tabla_base[tipo_cultivo]=tabla_base[[#This Row],[tipo_cultivo]]), 0.75)</f>
        <v>5.1742550000000005</v>
      </c>
      <c r="M59" s="7" t="str">
        <f>IF(tabla_base[[#This Row],[Rendimiento_por_hectarea_ton]]&gt;tabla_base[[#This Row],[percentil_0,75]],"Sí","No")</f>
        <v>No</v>
      </c>
      <c r="N59" s="3">
        <v>0.67</v>
      </c>
      <c r="O59" t="s">
        <v>19</v>
      </c>
    </row>
    <row r="60" spans="1:15" x14ac:dyDescent="0.35">
      <c r="A60" t="s">
        <v>92</v>
      </c>
      <c r="B60" s="1" t="s">
        <v>16</v>
      </c>
      <c r="C60" s="1" t="s">
        <v>23</v>
      </c>
      <c r="D60" s="1" t="s">
        <v>18</v>
      </c>
      <c r="E60" s="2">
        <v>33.14</v>
      </c>
      <c r="F60" s="3">
        <v>5.55</v>
      </c>
      <c r="G60" s="3">
        <v>15.3</v>
      </c>
      <c r="H60" s="4">
        <v>247.5</v>
      </c>
      <c r="I60" s="3">
        <v>51.9</v>
      </c>
      <c r="J60" t="s">
        <v>25</v>
      </c>
      <c r="K60" s="5">
        <v>2.4546000000000001</v>
      </c>
      <c r="L60" s="6" cm="1">
        <f t="array" ref="L60">_xlfn.PERCENTILE.INC(_xlfn._xlws.FILTER(tabla_base[Rendimiento_por_hectarea_ton], tabla_base[tipo_cultivo]=tabla_base[[#This Row],[tipo_cultivo]]), 0.75)</f>
        <v>5.2079399999999998</v>
      </c>
      <c r="M60" s="7" t="str">
        <f>IF(tabla_base[[#This Row],[Rendimiento_por_hectarea_ton]]&gt;tabla_base[[#This Row],[percentil_0,75]],"Sí","No")</f>
        <v>No</v>
      </c>
      <c r="N60" s="3">
        <v>0.74</v>
      </c>
      <c r="O60" t="s">
        <v>44</v>
      </c>
    </row>
    <row r="61" spans="1:15" x14ac:dyDescent="0.35">
      <c r="A61" t="s">
        <v>93</v>
      </c>
      <c r="B61" s="1" t="s">
        <v>22</v>
      </c>
      <c r="C61" s="1" t="s">
        <v>23</v>
      </c>
      <c r="D61" s="1" t="s">
        <v>24</v>
      </c>
      <c r="E61" s="2">
        <v>17.75</v>
      </c>
      <c r="F61" s="3">
        <v>6.73</v>
      </c>
      <c r="G61" s="3">
        <v>29.54</v>
      </c>
      <c r="H61" s="4">
        <v>277.19</v>
      </c>
      <c r="I61" s="3">
        <v>72.95</v>
      </c>
      <c r="J61" t="s">
        <v>28</v>
      </c>
      <c r="K61" s="5">
        <v>2.4318499999999998</v>
      </c>
      <c r="L61" s="6" cm="1">
        <f t="array" ref="L61">_xlfn.PERCENTILE.INC(_xlfn._xlws.FILTER(tabla_base[Rendimiento_por_hectarea_ton], tabla_base[tipo_cultivo]=tabla_base[[#This Row],[tipo_cultivo]]), 0.75)</f>
        <v>5.3984449999999997</v>
      </c>
      <c r="M61" s="7" t="str">
        <f>IF(tabla_base[[#This Row],[Rendimiento_por_hectarea_ton]]&gt;tabla_base[[#This Row],[percentil_0,75]],"Sí","No")</f>
        <v>No</v>
      </c>
      <c r="N61" s="3">
        <v>0.8</v>
      </c>
      <c r="O61" t="s">
        <v>26</v>
      </c>
    </row>
    <row r="62" spans="1:15" x14ac:dyDescent="0.35">
      <c r="A62" t="s">
        <v>94</v>
      </c>
      <c r="B62" s="1" t="s">
        <v>16</v>
      </c>
      <c r="C62" s="1" t="s">
        <v>23</v>
      </c>
      <c r="D62" s="1" t="s">
        <v>31</v>
      </c>
      <c r="E62" s="2">
        <v>31.85</v>
      </c>
      <c r="F62" s="3">
        <v>6.67</v>
      </c>
      <c r="G62" s="3">
        <v>29.24</v>
      </c>
      <c r="H62" s="4">
        <v>145.22999999999999</v>
      </c>
      <c r="I62" s="3">
        <v>69.87</v>
      </c>
      <c r="J62" t="s">
        <v>19</v>
      </c>
      <c r="K62" s="5">
        <v>4.6036700000000002</v>
      </c>
      <c r="L62" s="6" cm="1">
        <f t="array" ref="L62">_xlfn.PERCENTILE.INC(_xlfn._xlws.FILTER(tabla_base[Rendimiento_por_hectarea_ton], tabla_base[tipo_cultivo]=tabla_base[[#This Row],[tipo_cultivo]]), 0.75)</f>
        <v>5.1742550000000005</v>
      </c>
      <c r="M62" s="7" t="str">
        <f>IF(tabla_base[[#This Row],[Rendimiento_por_hectarea_ton]]&gt;tabla_base[[#This Row],[percentil_0,75]],"Sí","No")</f>
        <v>No</v>
      </c>
      <c r="N62" s="3">
        <v>0.61</v>
      </c>
      <c r="O62" t="s">
        <v>20</v>
      </c>
    </row>
    <row r="63" spans="1:15" x14ac:dyDescent="0.35">
      <c r="A63" t="s">
        <v>95</v>
      </c>
      <c r="B63" s="1" t="s">
        <v>22</v>
      </c>
      <c r="C63" s="1" t="s">
        <v>23</v>
      </c>
      <c r="D63" s="1" t="s">
        <v>33</v>
      </c>
      <c r="E63" s="2">
        <v>35.54</v>
      </c>
      <c r="F63" s="3">
        <v>6.13</v>
      </c>
      <c r="G63" s="3">
        <v>21.25</v>
      </c>
      <c r="H63" s="4">
        <v>113.72</v>
      </c>
      <c r="I63" s="3">
        <v>87.68</v>
      </c>
      <c r="J63" t="s">
        <v>19</v>
      </c>
      <c r="K63" s="5">
        <v>2.38626</v>
      </c>
      <c r="L63" s="6" cm="1">
        <f t="array" ref="L63">_xlfn.PERCENTILE.INC(_xlfn._xlws.FILTER(tabla_base[Rendimiento_por_hectarea_ton], tabla_base[tipo_cultivo]=tabla_base[[#This Row],[tipo_cultivo]]), 0.75)</f>
        <v>5.1635450000000001</v>
      </c>
      <c r="M63" s="7" t="str">
        <f>IF(tabla_base[[#This Row],[Rendimiento_por_hectarea_ton]]&gt;tabla_base[[#This Row],[percentil_0,75]],"Sí","No")</f>
        <v>No</v>
      </c>
      <c r="N63" s="3">
        <v>0.89</v>
      </c>
      <c r="O63" t="s">
        <v>26</v>
      </c>
    </row>
    <row r="64" spans="1:15" x14ac:dyDescent="0.35">
      <c r="A64" t="s">
        <v>96</v>
      </c>
      <c r="B64" s="1" t="s">
        <v>16</v>
      </c>
      <c r="C64" s="1" t="s">
        <v>17</v>
      </c>
      <c r="D64" s="1" t="s">
        <v>33</v>
      </c>
      <c r="E64" s="2">
        <v>22.38</v>
      </c>
      <c r="F64" s="3">
        <v>6.83</v>
      </c>
      <c r="G64" s="3">
        <v>30.01</v>
      </c>
      <c r="H64" s="4">
        <v>267.02</v>
      </c>
      <c r="I64" s="3">
        <v>76.05</v>
      </c>
      <c r="J64" t="s">
        <v>37</v>
      </c>
      <c r="K64" s="5">
        <v>4.6269499999999999</v>
      </c>
      <c r="L64" s="6" cm="1">
        <f t="array" ref="L64">_xlfn.PERCENTILE.INC(_xlfn._xlws.FILTER(tabla_base[Rendimiento_por_hectarea_ton], tabla_base[tipo_cultivo]=tabla_base[[#This Row],[tipo_cultivo]]), 0.75)</f>
        <v>5.1635450000000001</v>
      </c>
      <c r="M64" s="7" t="str">
        <f>IF(tabla_base[[#This Row],[Rendimiento_por_hectarea_ton]]&gt;tabla_base[[#This Row],[percentil_0,75]],"Sí","No")</f>
        <v>No</v>
      </c>
      <c r="N64" s="3">
        <v>0.53</v>
      </c>
      <c r="O64" t="s">
        <v>44</v>
      </c>
    </row>
    <row r="65" spans="1:15" x14ac:dyDescent="0.35">
      <c r="A65" t="s">
        <v>97</v>
      </c>
      <c r="B65" s="1" t="s">
        <v>22</v>
      </c>
      <c r="C65" s="1" t="s">
        <v>30</v>
      </c>
      <c r="D65" s="1" t="s">
        <v>24</v>
      </c>
      <c r="E65" s="2">
        <v>17.920000000000002</v>
      </c>
      <c r="F65" s="3">
        <v>6.36</v>
      </c>
      <c r="G65" s="3">
        <v>26.22</v>
      </c>
      <c r="H65" s="4">
        <v>241.86</v>
      </c>
      <c r="I65" s="3">
        <v>71.09</v>
      </c>
      <c r="J65" t="s">
        <v>28</v>
      </c>
      <c r="K65" s="5">
        <v>2.72166</v>
      </c>
      <c r="L65" s="6" cm="1">
        <f t="array" ref="L65">_xlfn.PERCENTILE.INC(_xlfn._xlws.FILTER(tabla_base[Rendimiento_por_hectarea_ton], tabla_base[tipo_cultivo]=tabla_base[[#This Row],[tipo_cultivo]]), 0.75)</f>
        <v>5.3984449999999997</v>
      </c>
      <c r="M65" s="7" t="str">
        <f>IF(tabla_base[[#This Row],[Rendimiento_por_hectarea_ton]]&gt;tabla_base[[#This Row],[percentil_0,75]],"Sí","No")</f>
        <v>No</v>
      </c>
      <c r="N65" s="3">
        <v>0.57999999999999996</v>
      </c>
      <c r="O65" t="s">
        <v>20</v>
      </c>
    </row>
    <row r="66" spans="1:15" x14ac:dyDescent="0.35">
      <c r="A66" t="s">
        <v>98</v>
      </c>
      <c r="B66" s="1" t="s">
        <v>16</v>
      </c>
      <c r="C66" s="1" t="s">
        <v>23</v>
      </c>
      <c r="D66" s="1" t="s">
        <v>24</v>
      </c>
      <c r="E66" s="2">
        <v>33.01</v>
      </c>
      <c r="F66" s="3">
        <v>5.64</v>
      </c>
      <c r="G66" s="3">
        <v>29.82</v>
      </c>
      <c r="H66" s="4">
        <v>292.95</v>
      </c>
      <c r="I66" s="3">
        <v>44.59</v>
      </c>
      <c r="J66" t="s">
        <v>19</v>
      </c>
      <c r="K66" s="5">
        <v>4.8863799999999999</v>
      </c>
      <c r="L66" s="6" cm="1">
        <f t="array" ref="L66">_xlfn.PERCENTILE.INC(_xlfn._xlws.FILTER(tabla_base[Rendimiento_por_hectarea_ton], tabla_base[tipo_cultivo]=tabla_base[[#This Row],[tipo_cultivo]]), 0.75)</f>
        <v>5.3984449999999997</v>
      </c>
      <c r="M66" s="7" t="str">
        <f>IF(tabla_base[[#This Row],[Rendimiento_por_hectarea_ton]]&gt;tabla_base[[#This Row],[percentil_0,75]],"Sí","No")</f>
        <v>No</v>
      </c>
      <c r="N66" s="3">
        <v>0.7</v>
      </c>
      <c r="O66" t="s">
        <v>26</v>
      </c>
    </row>
    <row r="67" spans="1:15" x14ac:dyDescent="0.35">
      <c r="A67" t="s">
        <v>99</v>
      </c>
      <c r="B67" s="1" t="s">
        <v>16</v>
      </c>
      <c r="C67" s="1" t="s">
        <v>23</v>
      </c>
      <c r="D67" s="1" t="s">
        <v>24</v>
      </c>
      <c r="E67" s="2">
        <v>11.74</v>
      </c>
      <c r="F67" s="3">
        <v>5.66</v>
      </c>
      <c r="G67" s="3">
        <v>23.86</v>
      </c>
      <c r="H67" s="4">
        <v>156</v>
      </c>
      <c r="I67" s="3">
        <v>70.349999999999994</v>
      </c>
      <c r="J67" t="s">
        <v>25</v>
      </c>
      <c r="K67" s="5">
        <v>4.7128699999999997</v>
      </c>
      <c r="L67" s="6" cm="1">
        <f t="array" ref="L67">_xlfn.PERCENTILE.INC(_xlfn._xlws.FILTER(tabla_base[Rendimiento_por_hectarea_ton], tabla_base[tipo_cultivo]=tabla_base[[#This Row],[tipo_cultivo]]), 0.75)</f>
        <v>5.3984449999999997</v>
      </c>
      <c r="M67" s="7" t="str">
        <f>IF(tabla_base[[#This Row],[Rendimiento_por_hectarea_ton]]&gt;tabla_base[[#This Row],[percentil_0,75]],"Sí","No")</f>
        <v>No</v>
      </c>
      <c r="N67" s="3">
        <v>0.85</v>
      </c>
      <c r="O67" t="s">
        <v>44</v>
      </c>
    </row>
    <row r="68" spans="1:15" x14ac:dyDescent="0.35">
      <c r="A68" t="s">
        <v>100</v>
      </c>
      <c r="B68" s="1" t="s">
        <v>39</v>
      </c>
      <c r="C68" s="1" t="s">
        <v>40</v>
      </c>
      <c r="D68" s="1" t="s">
        <v>18</v>
      </c>
      <c r="E68" s="2">
        <v>10.27</v>
      </c>
      <c r="F68" s="3">
        <v>6.1</v>
      </c>
      <c r="G68" s="3">
        <v>19.22</v>
      </c>
      <c r="H68" s="4">
        <v>84.31</v>
      </c>
      <c r="I68" s="3">
        <v>52.78</v>
      </c>
      <c r="J68" t="s">
        <v>28</v>
      </c>
      <c r="K68" s="5">
        <v>4.1303299999999998</v>
      </c>
      <c r="L68" s="6" cm="1">
        <f t="array" ref="L68">_xlfn.PERCENTILE.INC(_xlfn._xlws.FILTER(tabla_base[Rendimiento_por_hectarea_ton], tabla_base[tipo_cultivo]=tabla_base[[#This Row],[tipo_cultivo]]), 0.75)</f>
        <v>5.2079399999999998</v>
      </c>
      <c r="M68" s="7" t="str">
        <f>IF(tabla_base[[#This Row],[Rendimiento_por_hectarea_ton]]&gt;tabla_base[[#This Row],[percentil_0,75]],"Sí","No")</f>
        <v>No</v>
      </c>
      <c r="N68" s="3">
        <v>0.79</v>
      </c>
      <c r="O68" t="s">
        <v>19</v>
      </c>
    </row>
    <row r="69" spans="1:15" x14ac:dyDescent="0.35">
      <c r="A69" t="s">
        <v>101</v>
      </c>
      <c r="B69" s="1" t="s">
        <v>22</v>
      </c>
      <c r="C69" s="1" t="s">
        <v>23</v>
      </c>
      <c r="D69" s="1" t="s">
        <v>18</v>
      </c>
      <c r="E69" s="2">
        <v>25.27</v>
      </c>
      <c r="F69" s="3">
        <v>6.42</v>
      </c>
      <c r="G69" s="3">
        <v>16.559999999999999</v>
      </c>
      <c r="H69" s="4">
        <v>128.27000000000001</v>
      </c>
      <c r="I69" s="3">
        <v>61.46</v>
      </c>
      <c r="J69" t="s">
        <v>19</v>
      </c>
      <c r="K69" s="5">
        <v>5.2052899999999998</v>
      </c>
      <c r="L69" s="6" cm="1">
        <f t="array" ref="L69">_xlfn.PERCENTILE.INC(_xlfn._xlws.FILTER(tabla_base[Rendimiento_por_hectarea_ton], tabla_base[tipo_cultivo]=tabla_base[[#This Row],[tipo_cultivo]]), 0.75)</f>
        <v>5.2079399999999998</v>
      </c>
      <c r="M69" s="7" t="str">
        <f>IF(tabla_base[[#This Row],[Rendimiento_por_hectarea_ton]]&gt;tabla_base[[#This Row],[percentil_0,75]],"Sí","No")</f>
        <v>No</v>
      </c>
      <c r="N69" s="3">
        <v>0.85</v>
      </c>
      <c r="O69" t="s">
        <v>44</v>
      </c>
    </row>
    <row r="70" spans="1:15" x14ac:dyDescent="0.35">
      <c r="A70" t="s">
        <v>102</v>
      </c>
      <c r="B70" s="1" t="s">
        <v>16</v>
      </c>
      <c r="C70" s="1" t="s">
        <v>17</v>
      </c>
      <c r="D70" s="1" t="s">
        <v>35</v>
      </c>
      <c r="E70" s="2">
        <v>25.25</v>
      </c>
      <c r="F70" s="3">
        <v>6.3</v>
      </c>
      <c r="G70" s="3">
        <v>16.57</v>
      </c>
      <c r="H70" s="4">
        <v>267.63</v>
      </c>
      <c r="I70" s="3">
        <v>77.290000000000006</v>
      </c>
      <c r="J70" t="s">
        <v>25</v>
      </c>
      <c r="K70" s="5">
        <v>2.7756099999999999</v>
      </c>
      <c r="L70" s="6" cm="1">
        <f t="array" ref="L70">_xlfn.PERCENTILE.INC(_xlfn._xlws.FILTER(tabla_base[Rendimiento_por_hectarea_ton], tabla_base[tipo_cultivo]=tabla_base[[#This Row],[tipo_cultivo]]), 0.75)</f>
        <v>5.1318025</v>
      </c>
      <c r="M70" s="7" t="str">
        <f>IF(tabla_base[[#This Row],[Rendimiento_por_hectarea_ton]]&gt;tabla_base[[#This Row],[percentil_0,75]],"Sí","No")</f>
        <v>No</v>
      </c>
      <c r="N70" s="3">
        <v>0.7</v>
      </c>
      <c r="O70" t="s">
        <v>20</v>
      </c>
    </row>
    <row r="71" spans="1:15" x14ac:dyDescent="0.35">
      <c r="A71" t="s">
        <v>103</v>
      </c>
      <c r="B71" s="1" t="s">
        <v>16</v>
      </c>
      <c r="C71" s="1" t="s">
        <v>23</v>
      </c>
      <c r="D71" s="1" t="s">
        <v>18</v>
      </c>
      <c r="E71" s="2">
        <v>15.13</v>
      </c>
      <c r="F71" s="3">
        <v>5.89</v>
      </c>
      <c r="G71" s="3">
        <v>27.05</v>
      </c>
      <c r="H71" s="4">
        <v>240.05</v>
      </c>
      <c r="I71" s="3">
        <v>72.78</v>
      </c>
      <c r="J71" t="s">
        <v>19</v>
      </c>
      <c r="K71" s="5">
        <v>5.6966200000000002</v>
      </c>
      <c r="L71" s="6" cm="1">
        <f t="array" ref="L71">_xlfn.PERCENTILE.INC(_xlfn._xlws.FILTER(tabla_base[Rendimiento_por_hectarea_ton], tabla_base[tipo_cultivo]=tabla_base[[#This Row],[tipo_cultivo]]), 0.75)</f>
        <v>5.2079399999999998</v>
      </c>
      <c r="M71" s="7" t="str">
        <f>IF(tabla_base[[#This Row],[Rendimiento_por_hectarea_ton]]&gt;tabla_base[[#This Row],[percentil_0,75]],"Sí","No")</f>
        <v>Sí</v>
      </c>
      <c r="N71" s="3">
        <v>0.42</v>
      </c>
      <c r="O71" t="s">
        <v>26</v>
      </c>
    </row>
    <row r="72" spans="1:15" x14ac:dyDescent="0.35">
      <c r="A72" t="s">
        <v>104</v>
      </c>
      <c r="B72" s="1" t="s">
        <v>22</v>
      </c>
      <c r="C72" s="1" t="s">
        <v>23</v>
      </c>
      <c r="D72" s="1" t="s">
        <v>33</v>
      </c>
      <c r="E72" s="2">
        <v>32.1</v>
      </c>
      <c r="F72" s="3">
        <v>7.09</v>
      </c>
      <c r="G72" s="3">
        <v>26.83</v>
      </c>
      <c r="H72" s="4">
        <v>137.99</v>
      </c>
      <c r="I72" s="3">
        <v>43.71</v>
      </c>
      <c r="J72" t="s">
        <v>28</v>
      </c>
      <c r="K72" s="5">
        <v>5.4569999999999999</v>
      </c>
      <c r="L72" s="6" cm="1">
        <f t="array" ref="L72">_xlfn.PERCENTILE.INC(_xlfn._xlws.FILTER(tabla_base[Rendimiento_por_hectarea_ton], tabla_base[tipo_cultivo]=tabla_base[[#This Row],[tipo_cultivo]]), 0.75)</f>
        <v>5.1635450000000001</v>
      </c>
      <c r="M72" s="7" t="str">
        <f>IF(tabla_base[[#This Row],[Rendimiento_por_hectarea_ton]]&gt;tabla_base[[#This Row],[percentil_0,75]],"Sí","No")</f>
        <v>Sí</v>
      </c>
      <c r="N72" s="3">
        <v>0.59</v>
      </c>
      <c r="O72" t="s">
        <v>44</v>
      </c>
    </row>
    <row r="73" spans="1:15" x14ac:dyDescent="0.35">
      <c r="A73" t="s">
        <v>105</v>
      </c>
      <c r="B73" s="1" t="s">
        <v>22</v>
      </c>
      <c r="C73" s="1" t="s">
        <v>23</v>
      </c>
      <c r="D73" s="1" t="s">
        <v>24</v>
      </c>
      <c r="E73" s="2">
        <v>32.81</v>
      </c>
      <c r="F73" s="3">
        <v>6.14</v>
      </c>
      <c r="G73" s="3">
        <v>24.51</v>
      </c>
      <c r="H73" s="4">
        <v>87.72</v>
      </c>
      <c r="I73" s="3">
        <v>43.09</v>
      </c>
      <c r="J73" t="s">
        <v>37</v>
      </c>
      <c r="K73" s="5">
        <v>2.9909699999999999</v>
      </c>
      <c r="L73" s="6" cm="1">
        <f t="array" ref="L73">_xlfn.PERCENTILE.INC(_xlfn._xlws.FILTER(tabla_base[Rendimiento_por_hectarea_ton], tabla_base[tipo_cultivo]=tabla_base[[#This Row],[tipo_cultivo]]), 0.75)</f>
        <v>5.3984449999999997</v>
      </c>
      <c r="M73" s="7" t="str">
        <f>IF(tabla_base[[#This Row],[Rendimiento_por_hectarea_ton]]&gt;tabla_base[[#This Row],[percentil_0,75]],"Sí","No")</f>
        <v>No</v>
      </c>
      <c r="N73" s="3">
        <v>0.44</v>
      </c>
      <c r="O73" t="s">
        <v>26</v>
      </c>
    </row>
    <row r="74" spans="1:15" x14ac:dyDescent="0.35">
      <c r="A74" t="s">
        <v>106</v>
      </c>
      <c r="B74" s="1" t="s">
        <v>22</v>
      </c>
      <c r="C74" s="1" t="s">
        <v>30</v>
      </c>
      <c r="D74" s="1" t="s">
        <v>31</v>
      </c>
      <c r="E74" s="2">
        <v>23.56</v>
      </c>
      <c r="F74" s="3">
        <v>7.05</v>
      </c>
      <c r="G74" s="3">
        <v>28.58</v>
      </c>
      <c r="H74" s="4">
        <v>63.09</v>
      </c>
      <c r="I74" s="3">
        <v>71.540000000000006</v>
      </c>
      <c r="J74" t="s">
        <v>37</v>
      </c>
      <c r="K74" s="5">
        <v>4.8949300000000004</v>
      </c>
      <c r="L74" s="6" cm="1">
        <f t="array" ref="L74">_xlfn.PERCENTILE.INC(_xlfn._xlws.FILTER(tabla_base[Rendimiento_por_hectarea_ton], tabla_base[tipo_cultivo]=tabla_base[[#This Row],[tipo_cultivo]]), 0.75)</f>
        <v>5.1742550000000005</v>
      </c>
      <c r="M74" s="7" t="str">
        <f>IF(tabla_base[[#This Row],[Rendimiento_por_hectarea_ton]]&gt;tabla_base[[#This Row],[percentil_0,75]],"Sí","No")</f>
        <v>No</v>
      </c>
      <c r="N74" s="3">
        <v>0.55000000000000004</v>
      </c>
      <c r="O74" t="s">
        <v>26</v>
      </c>
    </row>
    <row r="75" spans="1:15" x14ac:dyDescent="0.35">
      <c r="A75" t="s">
        <v>107</v>
      </c>
      <c r="B75" s="1" t="s">
        <v>39</v>
      </c>
      <c r="C75" s="1" t="s">
        <v>40</v>
      </c>
      <c r="D75" s="1" t="s">
        <v>35</v>
      </c>
      <c r="E75" s="2">
        <v>42.09</v>
      </c>
      <c r="F75" s="3">
        <v>6.12</v>
      </c>
      <c r="G75" s="3">
        <v>28.12</v>
      </c>
      <c r="H75" s="4">
        <v>215.53</v>
      </c>
      <c r="I75" s="3">
        <v>46.45</v>
      </c>
      <c r="J75" t="s">
        <v>28</v>
      </c>
      <c r="K75" s="5">
        <v>5.2527400000000002</v>
      </c>
      <c r="L75" s="6" cm="1">
        <f t="array" ref="L75">_xlfn.PERCENTILE.INC(_xlfn._xlws.FILTER(tabla_base[Rendimiento_por_hectarea_ton], tabla_base[tipo_cultivo]=tabla_base[[#This Row],[tipo_cultivo]]), 0.75)</f>
        <v>5.1318025</v>
      </c>
      <c r="M75" s="7" t="str">
        <f>IF(tabla_base[[#This Row],[Rendimiento_por_hectarea_ton]]&gt;tabla_base[[#This Row],[percentil_0,75]],"Sí","No")</f>
        <v>Sí</v>
      </c>
      <c r="N75" s="3">
        <v>0.86</v>
      </c>
      <c r="O75" t="s">
        <v>20</v>
      </c>
    </row>
    <row r="76" spans="1:15" x14ac:dyDescent="0.35">
      <c r="A76" t="s">
        <v>108</v>
      </c>
      <c r="B76" s="1" t="s">
        <v>22</v>
      </c>
      <c r="C76" s="1" t="s">
        <v>23</v>
      </c>
      <c r="D76" s="1" t="s">
        <v>24</v>
      </c>
      <c r="E76" s="2">
        <v>22.66</v>
      </c>
      <c r="F76" s="3">
        <v>6.23</v>
      </c>
      <c r="G76" s="3">
        <v>18.61</v>
      </c>
      <c r="H76" s="4">
        <v>103.55</v>
      </c>
      <c r="I76" s="3">
        <v>87.38</v>
      </c>
      <c r="J76" t="s">
        <v>25</v>
      </c>
      <c r="K76" s="5">
        <v>2.40456</v>
      </c>
      <c r="L76" s="6" cm="1">
        <f t="array" ref="L76">_xlfn.PERCENTILE.INC(_xlfn._xlws.FILTER(tabla_base[Rendimiento_por_hectarea_ton], tabla_base[tipo_cultivo]=tabla_base[[#This Row],[tipo_cultivo]]), 0.75)</f>
        <v>5.3984449999999997</v>
      </c>
      <c r="M76" s="7" t="str">
        <f>IF(tabla_base[[#This Row],[Rendimiento_por_hectarea_ton]]&gt;tabla_base[[#This Row],[percentil_0,75]],"Sí","No")</f>
        <v>No</v>
      </c>
      <c r="N76" s="3">
        <v>0.39</v>
      </c>
      <c r="O76" t="s">
        <v>20</v>
      </c>
    </row>
    <row r="77" spans="1:15" x14ac:dyDescent="0.35">
      <c r="A77" t="s">
        <v>109</v>
      </c>
      <c r="B77" s="1" t="s">
        <v>39</v>
      </c>
      <c r="C77" s="1" t="s">
        <v>40</v>
      </c>
      <c r="D77" s="1" t="s">
        <v>35</v>
      </c>
      <c r="E77" s="2">
        <v>30.9</v>
      </c>
      <c r="F77" s="3">
        <v>5.81</v>
      </c>
      <c r="G77" s="3">
        <v>18.62</v>
      </c>
      <c r="H77" s="4">
        <v>223.21</v>
      </c>
      <c r="I77" s="3">
        <v>71.239999999999995</v>
      </c>
      <c r="J77" t="s">
        <v>19</v>
      </c>
      <c r="K77" s="5">
        <v>5.8783500000000002</v>
      </c>
      <c r="L77" s="6" cm="1">
        <f t="array" ref="L77">_xlfn.PERCENTILE.INC(_xlfn._xlws.FILTER(tabla_base[Rendimiento_por_hectarea_ton], tabla_base[tipo_cultivo]=tabla_base[[#This Row],[tipo_cultivo]]), 0.75)</f>
        <v>5.1318025</v>
      </c>
      <c r="M77" s="7" t="str">
        <f>IF(tabla_base[[#This Row],[Rendimiento_por_hectarea_ton]]&gt;tabla_base[[#This Row],[percentil_0,75]],"Sí","No")</f>
        <v>Sí</v>
      </c>
      <c r="N77" s="3">
        <v>0.76</v>
      </c>
      <c r="O77" t="s">
        <v>44</v>
      </c>
    </row>
    <row r="78" spans="1:15" x14ac:dyDescent="0.35">
      <c r="A78" t="s">
        <v>110</v>
      </c>
      <c r="B78" s="1" t="s">
        <v>22</v>
      </c>
      <c r="C78" s="1" t="s">
        <v>30</v>
      </c>
      <c r="D78" s="1" t="s">
        <v>33</v>
      </c>
      <c r="E78" s="2">
        <v>41.64</v>
      </c>
      <c r="F78" s="3">
        <v>5.89</v>
      </c>
      <c r="G78" s="3">
        <v>28.57</v>
      </c>
      <c r="H78" s="4">
        <v>192.6</v>
      </c>
      <c r="I78" s="3">
        <v>62.03</v>
      </c>
      <c r="J78" t="s">
        <v>19</v>
      </c>
      <c r="K78" s="5">
        <v>5.2050400000000003</v>
      </c>
      <c r="L78" s="6" cm="1">
        <f t="array" ref="L78">_xlfn.PERCENTILE.INC(_xlfn._xlws.FILTER(tabla_base[Rendimiento_por_hectarea_ton], tabla_base[tipo_cultivo]=tabla_base[[#This Row],[tipo_cultivo]]), 0.75)</f>
        <v>5.1635450000000001</v>
      </c>
      <c r="M78" s="7" t="str">
        <f>IF(tabla_base[[#This Row],[Rendimiento_por_hectarea_ton]]&gt;tabla_base[[#This Row],[percentil_0,75]],"Sí","No")</f>
        <v>Sí</v>
      </c>
      <c r="N78" s="3">
        <v>0.57999999999999996</v>
      </c>
      <c r="O78" t="s">
        <v>20</v>
      </c>
    </row>
    <row r="79" spans="1:15" x14ac:dyDescent="0.35">
      <c r="A79" t="s">
        <v>111</v>
      </c>
      <c r="B79" s="1" t="s">
        <v>39</v>
      </c>
      <c r="C79" s="1" t="s">
        <v>40</v>
      </c>
      <c r="D79" s="1" t="s">
        <v>18</v>
      </c>
      <c r="E79" s="2">
        <v>34.9</v>
      </c>
      <c r="F79" s="3">
        <v>6.53</v>
      </c>
      <c r="G79" s="3">
        <v>17.489999999999998</v>
      </c>
      <c r="H79" s="4">
        <v>70.97</v>
      </c>
      <c r="I79" s="3">
        <v>48.02</v>
      </c>
      <c r="J79" t="s">
        <v>25</v>
      </c>
      <c r="K79" s="5">
        <v>5.5385200000000001</v>
      </c>
      <c r="L79" s="6" cm="1">
        <f t="array" ref="L79">_xlfn.PERCENTILE.INC(_xlfn._xlws.FILTER(tabla_base[Rendimiento_por_hectarea_ton], tabla_base[tipo_cultivo]=tabla_base[[#This Row],[tipo_cultivo]]), 0.75)</f>
        <v>5.2079399999999998</v>
      </c>
      <c r="M79" s="7" t="str">
        <f>IF(tabla_base[[#This Row],[Rendimiento_por_hectarea_ton]]&gt;tabla_base[[#This Row],[percentil_0,75]],"Sí","No")</f>
        <v>Sí</v>
      </c>
      <c r="N79" s="3">
        <v>0.71</v>
      </c>
      <c r="O79" t="s">
        <v>44</v>
      </c>
    </row>
    <row r="80" spans="1:15" x14ac:dyDescent="0.35">
      <c r="A80" t="s">
        <v>112</v>
      </c>
      <c r="B80" s="1" t="s">
        <v>16</v>
      </c>
      <c r="C80" s="1" t="s">
        <v>17</v>
      </c>
      <c r="D80" s="1" t="s">
        <v>31</v>
      </c>
      <c r="E80" s="2">
        <v>17.86</v>
      </c>
      <c r="F80" s="3">
        <v>6.14</v>
      </c>
      <c r="G80" s="3">
        <v>16.98</v>
      </c>
      <c r="H80" s="4">
        <v>228.68</v>
      </c>
      <c r="I80" s="3">
        <v>56.76</v>
      </c>
      <c r="J80" t="s">
        <v>28</v>
      </c>
      <c r="K80" s="5">
        <v>2.5551699999999999</v>
      </c>
      <c r="L80" s="6" cm="1">
        <f t="array" ref="L80">_xlfn.PERCENTILE.INC(_xlfn._xlws.FILTER(tabla_base[Rendimiento_por_hectarea_ton], tabla_base[tipo_cultivo]=tabla_base[[#This Row],[tipo_cultivo]]), 0.75)</f>
        <v>5.1742550000000005</v>
      </c>
      <c r="M80" s="7" t="str">
        <f>IF(tabla_base[[#This Row],[Rendimiento_por_hectarea_ton]]&gt;tabla_base[[#This Row],[percentil_0,75]],"Sí","No")</f>
        <v>No</v>
      </c>
      <c r="N80" s="3">
        <v>0.46</v>
      </c>
      <c r="O80" t="s">
        <v>26</v>
      </c>
    </row>
    <row r="81" spans="1:15" x14ac:dyDescent="0.35">
      <c r="A81" t="s">
        <v>113</v>
      </c>
      <c r="B81" s="1" t="s">
        <v>16</v>
      </c>
      <c r="C81" s="1" t="s">
        <v>23</v>
      </c>
      <c r="D81" s="1" t="s">
        <v>35</v>
      </c>
      <c r="E81" s="2">
        <v>29.21</v>
      </c>
      <c r="F81" s="3">
        <v>6.95</v>
      </c>
      <c r="G81" s="3">
        <v>25.56</v>
      </c>
      <c r="H81" s="4">
        <v>77.8</v>
      </c>
      <c r="I81" s="3">
        <v>54.41</v>
      </c>
      <c r="J81" t="s">
        <v>28</v>
      </c>
      <c r="K81" s="5">
        <v>2.4434299999999998</v>
      </c>
      <c r="L81" s="6" cm="1">
        <f t="array" ref="L81">_xlfn.PERCENTILE.INC(_xlfn._xlws.FILTER(tabla_base[Rendimiento_por_hectarea_ton], tabla_base[tipo_cultivo]=tabla_base[[#This Row],[tipo_cultivo]]), 0.75)</f>
        <v>5.1318025</v>
      </c>
      <c r="M81" s="7" t="str">
        <f>IF(tabla_base[[#This Row],[Rendimiento_por_hectarea_ton]]&gt;tabla_base[[#This Row],[percentil_0,75]],"Sí","No")</f>
        <v>No</v>
      </c>
      <c r="N81" s="3">
        <v>0.4</v>
      </c>
      <c r="O81" t="s">
        <v>20</v>
      </c>
    </row>
    <row r="82" spans="1:15" x14ac:dyDescent="0.35">
      <c r="A82" t="s">
        <v>114</v>
      </c>
      <c r="B82" s="1" t="s">
        <v>16</v>
      </c>
      <c r="C82" s="1" t="s">
        <v>23</v>
      </c>
      <c r="D82" s="1" t="s">
        <v>31</v>
      </c>
      <c r="E82" s="2">
        <v>25.02</v>
      </c>
      <c r="F82" s="3">
        <v>6.73</v>
      </c>
      <c r="G82" s="3">
        <v>19.809999999999999</v>
      </c>
      <c r="H82" s="4">
        <v>154.13999999999999</v>
      </c>
      <c r="I82" s="3">
        <v>73.22</v>
      </c>
      <c r="J82" t="s">
        <v>37</v>
      </c>
      <c r="K82" s="5">
        <v>5.9533300000000002</v>
      </c>
      <c r="L82" s="6" cm="1">
        <f t="array" ref="L82">_xlfn.PERCENTILE.INC(_xlfn._xlws.FILTER(tabla_base[Rendimiento_por_hectarea_ton], tabla_base[tipo_cultivo]=tabla_base[[#This Row],[tipo_cultivo]]), 0.75)</f>
        <v>5.1742550000000005</v>
      </c>
      <c r="M82" s="7" t="str">
        <f>IF(tabla_base[[#This Row],[Rendimiento_por_hectarea_ton]]&gt;tabla_base[[#This Row],[percentil_0,75]],"Sí","No")</f>
        <v>Sí</v>
      </c>
      <c r="N82" s="3">
        <v>0.37</v>
      </c>
      <c r="O82" t="s">
        <v>20</v>
      </c>
    </row>
    <row r="83" spans="1:15" x14ac:dyDescent="0.35">
      <c r="A83" t="s">
        <v>115</v>
      </c>
      <c r="B83" s="1" t="s">
        <v>22</v>
      </c>
      <c r="C83" s="1" t="s">
        <v>30</v>
      </c>
      <c r="D83" s="1" t="s">
        <v>18</v>
      </c>
      <c r="E83" s="2">
        <v>22.5</v>
      </c>
      <c r="F83" s="3">
        <v>5.64</v>
      </c>
      <c r="G83" s="3">
        <v>19.82</v>
      </c>
      <c r="H83" s="4">
        <v>214.28</v>
      </c>
      <c r="I83" s="3">
        <v>45.18</v>
      </c>
      <c r="J83" t="s">
        <v>37</v>
      </c>
      <c r="K83" s="5">
        <v>4.57118</v>
      </c>
      <c r="L83" s="6" cm="1">
        <f t="array" ref="L83">_xlfn.PERCENTILE.INC(_xlfn._xlws.FILTER(tabla_base[Rendimiento_por_hectarea_ton], tabla_base[tipo_cultivo]=tabla_base[[#This Row],[tipo_cultivo]]), 0.75)</f>
        <v>5.2079399999999998</v>
      </c>
      <c r="M83" s="7" t="str">
        <f>IF(tabla_base[[#This Row],[Rendimiento_por_hectarea_ton]]&gt;tabla_base[[#This Row],[percentil_0,75]],"Sí","No")</f>
        <v>No</v>
      </c>
      <c r="N83" s="3">
        <v>0.55000000000000004</v>
      </c>
      <c r="O83" t="s">
        <v>20</v>
      </c>
    </row>
    <row r="84" spans="1:15" x14ac:dyDescent="0.35">
      <c r="A84" t="s">
        <v>116</v>
      </c>
      <c r="B84" s="1" t="s">
        <v>16</v>
      </c>
      <c r="C84" s="1" t="s">
        <v>17</v>
      </c>
      <c r="D84" s="1" t="s">
        <v>33</v>
      </c>
      <c r="E84" s="2">
        <v>11.29</v>
      </c>
      <c r="F84" s="3">
        <v>5.9</v>
      </c>
      <c r="G84" s="3">
        <v>30.82</v>
      </c>
      <c r="H84" s="4">
        <v>271.45</v>
      </c>
      <c r="I84" s="3">
        <v>55.78</v>
      </c>
      <c r="J84" t="s">
        <v>19</v>
      </c>
      <c r="K84" s="5">
        <v>2.7644099999999998</v>
      </c>
      <c r="L84" s="6" cm="1">
        <f t="array" ref="L84">_xlfn.PERCENTILE.INC(_xlfn._xlws.FILTER(tabla_base[Rendimiento_por_hectarea_ton], tabla_base[tipo_cultivo]=tabla_base[[#This Row],[tipo_cultivo]]), 0.75)</f>
        <v>5.1635450000000001</v>
      </c>
      <c r="M84" s="7" t="str">
        <f>IF(tabla_base[[#This Row],[Rendimiento_por_hectarea_ton]]&gt;tabla_base[[#This Row],[percentil_0,75]],"Sí","No")</f>
        <v>No</v>
      </c>
      <c r="N84" s="3">
        <v>0.66</v>
      </c>
      <c r="O84" t="s">
        <v>20</v>
      </c>
    </row>
    <row r="85" spans="1:15" x14ac:dyDescent="0.35">
      <c r="A85" t="s">
        <v>117</v>
      </c>
      <c r="B85" s="1" t="s">
        <v>16</v>
      </c>
      <c r="C85" s="1" t="s">
        <v>17</v>
      </c>
      <c r="D85" s="1" t="s">
        <v>31</v>
      </c>
      <c r="E85" s="2">
        <v>25.29</v>
      </c>
      <c r="F85" s="3">
        <v>6.3</v>
      </c>
      <c r="G85" s="3">
        <v>23.79</v>
      </c>
      <c r="H85" s="4">
        <v>289.12</v>
      </c>
      <c r="I85" s="3">
        <v>56.95</v>
      </c>
      <c r="J85" t="s">
        <v>19</v>
      </c>
      <c r="K85" s="5">
        <v>2.3304499999999999</v>
      </c>
      <c r="L85" s="6" cm="1">
        <f t="array" ref="L85">_xlfn.PERCENTILE.INC(_xlfn._xlws.FILTER(tabla_base[Rendimiento_por_hectarea_ton], tabla_base[tipo_cultivo]=tabla_base[[#This Row],[tipo_cultivo]]), 0.75)</f>
        <v>5.1742550000000005</v>
      </c>
      <c r="M85" s="7" t="str">
        <f>IF(tabla_base[[#This Row],[Rendimiento_por_hectarea_ton]]&gt;tabla_base[[#This Row],[percentil_0,75]],"Sí","No")</f>
        <v>No</v>
      </c>
      <c r="N85" s="3">
        <v>0.56000000000000005</v>
      </c>
      <c r="O85" t="s">
        <v>44</v>
      </c>
    </row>
    <row r="86" spans="1:15" x14ac:dyDescent="0.35">
      <c r="A86" t="s">
        <v>118</v>
      </c>
      <c r="B86" s="1" t="s">
        <v>22</v>
      </c>
      <c r="C86" s="1" t="s">
        <v>30</v>
      </c>
      <c r="D86" s="1" t="s">
        <v>18</v>
      </c>
      <c r="E86" s="2">
        <v>12.8</v>
      </c>
      <c r="F86" s="3">
        <v>6.82</v>
      </c>
      <c r="G86" s="3">
        <v>21.13</v>
      </c>
      <c r="H86" s="4">
        <v>200.66</v>
      </c>
      <c r="I86" s="3">
        <v>61.31</v>
      </c>
      <c r="J86" t="s">
        <v>37</v>
      </c>
      <c r="K86" s="5">
        <v>3.09822</v>
      </c>
      <c r="L86" s="6" cm="1">
        <f t="array" ref="L86">_xlfn.PERCENTILE.INC(_xlfn._xlws.FILTER(tabla_base[Rendimiento_por_hectarea_ton], tabla_base[tipo_cultivo]=tabla_base[[#This Row],[tipo_cultivo]]), 0.75)</f>
        <v>5.2079399999999998</v>
      </c>
      <c r="M86" s="7" t="str">
        <f>IF(tabla_base[[#This Row],[Rendimiento_por_hectarea_ton]]&gt;tabla_base[[#This Row],[percentil_0,75]],"Sí","No")</f>
        <v>No</v>
      </c>
      <c r="N86" s="3">
        <v>0.47</v>
      </c>
      <c r="O86" t="s">
        <v>19</v>
      </c>
    </row>
    <row r="87" spans="1:15" x14ac:dyDescent="0.35">
      <c r="A87" t="s">
        <v>119</v>
      </c>
      <c r="B87" s="1" t="s">
        <v>39</v>
      </c>
      <c r="C87" s="1" t="s">
        <v>40</v>
      </c>
      <c r="D87" s="1" t="s">
        <v>35</v>
      </c>
      <c r="E87" s="2">
        <v>43.35</v>
      </c>
      <c r="F87" s="3">
        <v>5.79</v>
      </c>
      <c r="G87" s="3">
        <v>27.15</v>
      </c>
      <c r="H87" s="4">
        <v>245.33</v>
      </c>
      <c r="I87" s="3">
        <v>41.74</v>
      </c>
      <c r="J87" t="s">
        <v>37</v>
      </c>
      <c r="K87" s="5">
        <v>2.61375</v>
      </c>
      <c r="L87" s="6" cm="1">
        <f t="array" ref="L87">_xlfn.PERCENTILE.INC(_xlfn._xlws.FILTER(tabla_base[Rendimiento_por_hectarea_ton], tabla_base[tipo_cultivo]=tabla_base[[#This Row],[tipo_cultivo]]), 0.75)</f>
        <v>5.1318025</v>
      </c>
      <c r="M87" s="7" t="str">
        <f>IF(tabla_base[[#This Row],[Rendimiento_por_hectarea_ton]]&gt;tabla_base[[#This Row],[percentil_0,75]],"Sí","No")</f>
        <v>No</v>
      </c>
      <c r="N87" s="3">
        <v>0.35</v>
      </c>
      <c r="O87" t="s">
        <v>26</v>
      </c>
    </row>
    <row r="88" spans="1:15" x14ac:dyDescent="0.35">
      <c r="A88" t="s">
        <v>120</v>
      </c>
      <c r="B88" s="1" t="s">
        <v>39</v>
      </c>
      <c r="C88" s="1" t="s">
        <v>40</v>
      </c>
      <c r="D88" s="1" t="s">
        <v>31</v>
      </c>
      <c r="E88" s="2">
        <v>23.93</v>
      </c>
      <c r="F88" s="3">
        <v>6.8</v>
      </c>
      <c r="G88" s="3">
        <v>19.989999999999998</v>
      </c>
      <c r="H88" s="4">
        <v>78.36</v>
      </c>
      <c r="I88" s="3">
        <v>76.78</v>
      </c>
      <c r="J88" t="s">
        <v>19</v>
      </c>
      <c r="K88" s="5">
        <v>2.8582800000000002</v>
      </c>
      <c r="L88" s="6" cm="1">
        <f t="array" ref="L88">_xlfn.PERCENTILE.INC(_xlfn._xlws.FILTER(tabla_base[Rendimiento_por_hectarea_ton], tabla_base[tipo_cultivo]=tabla_base[[#This Row],[tipo_cultivo]]), 0.75)</f>
        <v>5.1742550000000005</v>
      </c>
      <c r="M88" s="7" t="str">
        <f>IF(tabla_base[[#This Row],[Rendimiento_por_hectarea_ton]]&gt;tabla_base[[#This Row],[percentil_0,75]],"Sí","No")</f>
        <v>No</v>
      </c>
      <c r="N88" s="3">
        <v>0.7</v>
      </c>
      <c r="O88" t="s">
        <v>44</v>
      </c>
    </row>
    <row r="89" spans="1:15" x14ac:dyDescent="0.35">
      <c r="A89" t="s">
        <v>121</v>
      </c>
      <c r="B89" s="1" t="s">
        <v>16</v>
      </c>
      <c r="C89" s="1" t="s">
        <v>23</v>
      </c>
      <c r="D89" s="1" t="s">
        <v>18</v>
      </c>
      <c r="E89" s="2">
        <v>25.82</v>
      </c>
      <c r="F89" s="3">
        <v>7.3</v>
      </c>
      <c r="G89" s="3">
        <v>23.9</v>
      </c>
      <c r="H89" s="4">
        <v>71.95</v>
      </c>
      <c r="I89" s="3">
        <v>74.099999999999994</v>
      </c>
      <c r="J89" t="s">
        <v>37</v>
      </c>
      <c r="K89" s="5">
        <v>3.1614499999999999</v>
      </c>
      <c r="L89" s="6" cm="1">
        <f t="array" ref="L89">_xlfn.PERCENTILE.INC(_xlfn._xlws.FILTER(tabla_base[Rendimiento_por_hectarea_ton], tabla_base[tipo_cultivo]=tabla_base[[#This Row],[tipo_cultivo]]), 0.75)</f>
        <v>5.2079399999999998</v>
      </c>
      <c r="M89" s="7" t="str">
        <f>IF(tabla_base[[#This Row],[Rendimiento_por_hectarea_ton]]&gt;tabla_base[[#This Row],[percentil_0,75]],"Sí","No")</f>
        <v>No</v>
      </c>
      <c r="N89" s="3">
        <v>0.65</v>
      </c>
      <c r="O89" t="s">
        <v>19</v>
      </c>
    </row>
    <row r="90" spans="1:15" x14ac:dyDescent="0.35">
      <c r="A90" t="s">
        <v>122</v>
      </c>
      <c r="B90" s="1" t="s">
        <v>22</v>
      </c>
      <c r="C90" s="1" t="s">
        <v>30</v>
      </c>
      <c r="D90" s="1" t="s">
        <v>24</v>
      </c>
      <c r="E90" s="2">
        <v>17.850000000000001</v>
      </c>
      <c r="F90" s="3">
        <v>7.47</v>
      </c>
      <c r="G90" s="3">
        <v>30.84</v>
      </c>
      <c r="H90" s="4">
        <v>109.18</v>
      </c>
      <c r="I90" s="3">
        <v>64.7</v>
      </c>
      <c r="J90" t="s">
        <v>37</v>
      </c>
      <c r="K90" s="5">
        <v>5.5369899999999994</v>
      </c>
      <c r="L90" s="6" cm="1">
        <f t="array" ref="L90">_xlfn.PERCENTILE.INC(_xlfn._xlws.FILTER(tabla_base[Rendimiento_por_hectarea_ton], tabla_base[tipo_cultivo]=tabla_base[[#This Row],[tipo_cultivo]]), 0.75)</f>
        <v>5.3984449999999997</v>
      </c>
      <c r="M90" s="7" t="str">
        <f>IF(tabla_base[[#This Row],[Rendimiento_por_hectarea_ton]]&gt;tabla_base[[#This Row],[percentil_0,75]],"Sí","No")</f>
        <v>Sí</v>
      </c>
      <c r="N90" s="3">
        <v>0.45</v>
      </c>
      <c r="O90" t="s">
        <v>19</v>
      </c>
    </row>
    <row r="91" spans="1:15" x14ac:dyDescent="0.35">
      <c r="A91" t="s">
        <v>123</v>
      </c>
      <c r="B91" s="1" t="s">
        <v>22</v>
      </c>
      <c r="C91" s="1" t="s">
        <v>23</v>
      </c>
      <c r="D91" s="1" t="s">
        <v>24</v>
      </c>
      <c r="E91" s="2">
        <v>12.58</v>
      </c>
      <c r="F91" s="3">
        <v>7.44</v>
      </c>
      <c r="G91" s="3">
        <v>27.85</v>
      </c>
      <c r="H91" s="4">
        <v>162.49</v>
      </c>
      <c r="I91" s="3">
        <v>74.010000000000005</v>
      </c>
      <c r="J91" t="s">
        <v>25</v>
      </c>
      <c r="K91" s="5">
        <v>4.0724099999999996</v>
      </c>
      <c r="L91" s="6" cm="1">
        <f t="array" ref="L91">_xlfn.PERCENTILE.INC(_xlfn._xlws.FILTER(tabla_base[Rendimiento_por_hectarea_ton], tabla_base[tipo_cultivo]=tabla_base[[#This Row],[tipo_cultivo]]), 0.75)</f>
        <v>5.3984449999999997</v>
      </c>
      <c r="M91" s="7" t="str">
        <f>IF(tabla_base[[#This Row],[Rendimiento_por_hectarea_ton]]&gt;tabla_base[[#This Row],[percentil_0,75]],"Sí","No")</f>
        <v>No</v>
      </c>
      <c r="N91" s="3">
        <v>0.71</v>
      </c>
      <c r="O91" t="s">
        <v>44</v>
      </c>
    </row>
    <row r="92" spans="1:15" x14ac:dyDescent="0.35">
      <c r="A92" t="s">
        <v>124</v>
      </c>
      <c r="B92" s="1" t="s">
        <v>39</v>
      </c>
      <c r="C92" s="1" t="s">
        <v>40</v>
      </c>
      <c r="D92" s="1" t="s">
        <v>31</v>
      </c>
      <c r="E92" s="2">
        <v>39.61</v>
      </c>
      <c r="F92" s="3">
        <v>6</v>
      </c>
      <c r="G92" s="3">
        <v>27.7</v>
      </c>
      <c r="H92" s="4">
        <v>187.71</v>
      </c>
      <c r="I92" s="3">
        <v>46.26</v>
      </c>
      <c r="J92" t="s">
        <v>28</v>
      </c>
      <c r="K92" s="5">
        <v>2.6848000000000001</v>
      </c>
      <c r="L92" s="6" cm="1">
        <f t="array" ref="L92">_xlfn.PERCENTILE.INC(_xlfn._xlws.FILTER(tabla_base[Rendimiento_por_hectarea_ton], tabla_base[tipo_cultivo]=tabla_base[[#This Row],[tipo_cultivo]]), 0.75)</f>
        <v>5.1742550000000005</v>
      </c>
      <c r="M92" s="7" t="str">
        <f>IF(tabla_base[[#This Row],[Rendimiento_por_hectarea_ton]]&gt;tabla_base[[#This Row],[percentil_0,75]],"Sí","No")</f>
        <v>No</v>
      </c>
      <c r="N92" s="3">
        <v>0.5</v>
      </c>
      <c r="O92" t="s">
        <v>20</v>
      </c>
    </row>
    <row r="93" spans="1:15" x14ac:dyDescent="0.35">
      <c r="A93" t="s">
        <v>125</v>
      </c>
      <c r="B93" s="1" t="s">
        <v>16</v>
      </c>
      <c r="C93" s="1" t="s">
        <v>17</v>
      </c>
      <c r="D93" s="1" t="s">
        <v>18</v>
      </c>
      <c r="E93" s="2">
        <v>11.59</v>
      </c>
      <c r="F93" s="3">
        <v>6.78</v>
      </c>
      <c r="G93" s="3">
        <v>26.54</v>
      </c>
      <c r="H93" s="4">
        <v>212.78</v>
      </c>
      <c r="I93" s="3">
        <v>78.349999999999994</v>
      </c>
      <c r="J93" t="s">
        <v>28</v>
      </c>
      <c r="K93" s="5">
        <v>5.8266</v>
      </c>
      <c r="L93" s="6" cm="1">
        <f t="array" ref="L93">_xlfn.PERCENTILE.INC(_xlfn._xlws.FILTER(tabla_base[Rendimiento_por_hectarea_ton], tabla_base[tipo_cultivo]=tabla_base[[#This Row],[tipo_cultivo]]), 0.75)</f>
        <v>5.2079399999999998</v>
      </c>
      <c r="M93" s="7" t="str">
        <f>IF(tabla_base[[#This Row],[Rendimiento_por_hectarea_ton]]&gt;tabla_base[[#This Row],[percentil_0,75]],"Sí","No")</f>
        <v>Sí</v>
      </c>
      <c r="N93" s="3">
        <v>0.79</v>
      </c>
      <c r="O93" t="s">
        <v>19</v>
      </c>
    </row>
    <row r="94" spans="1:15" x14ac:dyDescent="0.35">
      <c r="A94" t="s">
        <v>126</v>
      </c>
      <c r="B94" s="1" t="s">
        <v>16</v>
      </c>
      <c r="C94" s="1" t="s">
        <v>17</v>
      </c>
      <c r="D94" s="1" t="s">
        <v>18</v>
      </c>
      <c r="E94" s="2">
        <v>15.53</v>
      </c>
      <c r="F94" s="3">
        <v>6.33</v>
      </c>
      <c r="G94" s="3">
        <v>24.29</v>
      </c>
      <c r="H94" s="4">
        <v>135.05000000000001</v>
      </c>
      <c r="I94" s="3">
        <v>47.18</v>
      </c>
      <c r="J94" t="s">
        <v>37</v>
      </c>
      <c r="K94" s="5">
        <v>5.0426599999999997</v>
      </c>
      <c r="L94" s="6" cm="1">
        <f t="array" ref="L94">_xlfn.PERCENTILE.INC(_xlfn._xlws.FILTER(tabla_base[Rendimiento_por_hectarea_ton], tabla_base[tipo_cultivo]=tabla_base[[#This Row],[tipo_cultivo]]), 0.75)</f>
        <v>5.2079399999999998</v>
      </c>
      <c r="M94" s="7" t="str">
        <f>IF(tabla_base[[#This Row],[Rendimiento_por_hectarea_ton]]&gt;tabla_base[[#This Row],[percentil_0,75]],"Sí","No")</f>
        <v>No</v>
      </c>
      <c r="N94" s="3">
        <v>0.45</v>
      </c>
      <c r="O94" t="s">
        <v>19</v>
      </c>
    </row>
    <row r="95" spans="1:15" x14ac:dyDescent="0.35">
      <c r="A95" t="s">
        <v>127</v>
      </c>
      <c r="B95" s="1" t="s">
        <v>22</v>
      </c>
      <c r="C95" s="1" t="s">
        <v>23</v>
      </c>
      <c r="D95" s="1" t="s">
        <v>35</v>
      </c>
      <c r="E95" s="2">
        <v>14.93</v>
      </c>
      <c r="F95" s="3">
        <v>5.6</v>
      </c>
      <c r="G95" s="3">
        <v>33.909999999999997</v>
      </c>
      <c r="H95" s="4">
        <v>266.04000000000002</v>
      </c>
      <c r="I95" s="3">
        <v>60.91</v>
      </c>
      <c r="J95" t="s">
        <v>25</v>
      </c>
      <c r="K95" s="5">
        <v>5.0524899999999997</v>
      </c>
      <c r="L95" s="6" cm="1">
        <f t="array" ref="L95">_xlfn.PERCENTILE.INC(_xlfn._xlws.FILTER(tabla_base[Rendimiento_por_hectarea_ton], tabla_base[tipo_cultivo]=tabla_base[[#This Row],[tipo_cultivo]]), 0.75)</f>
        <v>5.1318025</v>
      </c>
      <c r="M95" s="7" t="str">
        <f>IF(tabla_base[[#This Row],[Rendimiento_por_hectarea_ton]]&gt;tabla_base[[#This Row],[percentil_0,75]],"Sí","No")</f>
        <v>No</v>
      </c>
      <c r="N95" s="3">
        <v>0.5</v>
      </c>
      <c r="O95" t="s">
        <v>26</v>
      </c>
    </row>
    <row r="96" spans="1:15" x14ac:dyDescent="0.35">
      <c r="A96" t="s">
        <v>128</v>
      </c>
      <c r="B96" s="1" t="s">
        <v>16</v>
      </c>
      <c r="C96" s="1" t="s">
        <v>17</v>
      </c>
      <c r="D96" s="1" t="s">
        <v>18</v>
      </c>
      <c r="E96" s="2">
        <v>43.08</v>
      </c>
      <c r="F96" s="3">
        <v>6.51</v>
      </c>
      <c r="G96" s="3">
        <v>34.33</v>
      </c>
      <c r="H96" s="4">
        <v>103.79</v>
      </c>
      <c r="I96" s="3">
        <v>57.64</v>
      </c>
      <c r="J96" t="s">
        <v>19</v>
      </c>
      <c r="K96" s="5">
        <v>3.1429899999999997</v>
      </c>
      <c r="L96" s="6" cm="1">
        <f t="array" ref="L96">_xlfn.PERCENTILE.INC(_xlfn._xlws.FILTER(tabla_base[Rendimiento_por_hectarea_ton], tabla_base[tipo_cultivo]=tabla_base[[#This Row],[tipo_cultivo]]), 0.75)</f>
        <v>5.2079399999999998</v>
      </c>
      <c r="M96" s="7" t="str">
        <f>IF(tabla_base[[#This Row],[Rendimiento_por_hectarea_ton]]&gt;tabla_base[[#This Row],[percentil_0,75]],"Sí","No")</f>
        <v>No</v>
      </c>
      <c r="N96" s="3">
        <v>0.48</v>
      </c>
      <c r="O96" t="s">
        <v>20</v>
      </c>
    </row>
    <row r="97" spans="1:15" x14ac:dyDescent="0.35">
      <c r="A97" t="s">
        <v>129</v>
      </c>
      <c r="B97" s="1" t="s">
        <v>22</v>
      </c>
      <c r="C97" s="1" t="s">
        <v>23</v>
      </c>
      <c r="D97" s="1" t="s">
        <v>31</v>
      </c>
      <c r="E97" s="2">
        <v>11.58</v>
      </c>
      <c r="F97" s="3">
        <v>5.6</v>
      </c>
      <c r="G97" s="3">
        <v>26.24</v>
      </c>
      <c r="H97" s="4">
        <v>140.63</v>
      </c>
      <c r="I97" s="3">
        <v>54.43</v>
      </c>
      <c r="J97" t="s">
        <v>19</v>
      </c>
      <c r="K97" s="5">
        <v>2.4752399999999999</v>
      </c>
      <c r="L97" s="6" cm="1">
        <f t="array" ref="L97">_xlfn.PERCENTILE.INC(_xlfn._xlws.FILTER(tabla_base[Rendimiento_por_hectarea_ton], tabla_base[tipo_cultivo]=tabla_base[[#This Row],[tipo_cultivo]]), 0.75)</f>
        <v>5.1742550000000005</v>
      </c>
      <c r="M97" s="7" t="str">
        <f>IF(tabla_base[[#This Row],[Rendimiento_por_hectarea_ton]]&gt;tabla_base[[#This Row],[percentil_0,75]],"Sí","No")</f>
        <v>No</v>
      </c>
      <c r="N97" s="3">
        <v>0.78</v>
      </c>
      <c r="O97" t="s">
        <v>19</v>
      </c>
    </row>
    <row r="98" spans="1:15" x14ac:dyDescent="0.35">
      <c r="A98" t="s">
        <v>130</v>
      </c>
      <c r="B98" s="1" t="s">
        <v>16</v>
      </c>
      <c r="C98" s="1" t="s">
        <v>23</v>
      </c>
      <c r="D98" s="1" t="s">
        <v>35</v>
      </c>
      <c r="E98" s="2">
        <v>31.09</v>
      </c>
      <c r="F98" s="3">
        <v>6.3</v>
      </c>
      <c r="G98" s="3">
        <v>15.81</v>
      </c>
      <c r="H98" s="4">
        <v>59.73</v>
      </c>
      <c r="I98" s="3">
        <v>75.680000000000007</v>
      </c>
      <c r="J98" t="s">
        <v>19</v>
      </c>
      <c r="K98" s="5">
        <v>5.7254700000000005</v>
      </c>
      <c r="L98" s="6" cm="1">
        <f t="array" ref="L98">_xlfn.PERCENTILE.INC(_xlfn._xlws.FILTER(tabla_base[Rendimiento_por_hectarea_ton], tabla_base[tipo_cultivo]=tabla_base[[#This Row],[tipo_cultivo]]), 0.75)</f>
        <v>5.1318025</v>
      </c>
      <c r="M98" s="7" t="str">
        <f>IF(tabla_base[[#This Row],[Rendimiento_por_hectarea_ton]]&gt;tabla_base[[#This Row],[percentil_0,75]],"Sí","No")</f>
        <v>Sí</v>
      </c>
      <c r="N98" s="3">
        <v>0.52</v>
      </c>
      <c r="O98" t="s">
        <v>26</v>
      </c>
    </row>
    <row r="99" spans="1:15" x14ac:dyDescent="0.35">
      <c r="A99" t="s">
        <v>131</v>
      </c>
      <c r="B99" s="1" t="s">
        <v>39</v>
      </c>
      <c r="C99" s="1" t="s">
        <v>40</v>
      </c>
      <c r="D99" s="1" t="s">
        <v>31</v>
      </c>
      <c r="E99" s="2">
        <v>27.76</v>
      </c>
      <c r="F99" s="3">
        <v>6.52</v>
      </c>
      <c r="G99" s="3">
        <v>24.8</v>
      </c>
      <c r="H99" s="4">
        <v>190.73</v>
      </c>
      <c r="I99" s="3">
        <v>63.74</v>
      </c>
      <c r="J99" t="s">
        <v>37</v>
      </c>
      <c r="K99" s="5">
        <v>5.1870200000000004</v>
      </c>
      <c r="L99" s="6" cm="1">
        <f t="array" ref="L99">_xlfn.PERCENTILE.INC(_xlfn._xlws.FILTER(tabla_base[Rendimiento_por_hectarea_ton], tabla_base[tipo_cultivo]=tabla_base[[#This Row],[tipo_cultivo]]), 0.75)</f>
        <v>5.1742550000000005</v>
      </c>
      <c r="M99" s="7" t="str">
        <f>IF(tabla_base[[#This Row],[Rendimiento_por_hectarea_ton]]&gt;tabla_base[[#This Row],[percentil_0,75]],"Sí","No")</f>
        <v>Sí</v>
      </c>
      <c r="N99" s="3">
        <v>0.34</v>
      </c>
      <c r="O99" t="s">
        <v>26</v>
      </c>
    </row>
    <row r="100" spans="1:15" x14ac:dyDescent="0.35">
      <c r="A100" t="s">
        <v>132</v>
      </c>
      <c r="B100" s="1" t="s">
        <v>39</v>
      </c>
      <c r="C100" s="1" t="s">
        <v>40</v>
      </c>
      <c r="D100" s="1" t="s">
        <v>24</v>
      </c>
      <c r="E100" s="2">
        <v>17.96</v>
      </c>
      <c r="F100" s="3">
        <v>5.6</v>
      </c>
      <c r="G100" s="3">
        <v>24.61</v>
      </c>
      <c r="H100" s="4">
        <v>181.06</v>
      </c>
      <c r="I100" s="3">
        <v>76.06</v>
      </c>
      <c r="J100" t="s">
        <v>19</v>
      </c>
      <c r="K100" s="5">
        <v>5.7928199999999999</v>
      </c>
      <c r="L100" s="6" cm="1">
        <f t="array" ref="L100">_xlfn.PERCENTILE.INC(_xlfn._xlws.FILTER(tabla_base[Rendimiento_por_hectarea_ton], tabla_base[tipo_cultivo]=tabla_base[[#This Row],[tipo_cultivo]]), 0.75)</f>
        <v>5.3984449999999997</v>
      </c>
      <c r="M100" s="7" t="str">
        <f>IF(tabla_base[[#This Row],[Rendimiento_por_hectarea_ton]]&gt;tabla_base[[#This Row],[percentil_0,75]],"Sí","No")</f>
        <v>Sí</v>
      </c>
      <c r="N100" s="3">
        <v>0.46</v>
      </c>
      <c r="O100" t="s">
        <v>20</v>
      </c>
    </row>
    <row r="101" spans="1:15" x14ac:dyDescent="0.35">
      <c r="A101" t="s">
        <v>133</v>
      </c>
      <c r="B101" s="1" t="s">
        <v>16</v>
      </c>
      <c r="C101" s="1" t="s">
        <v>23</v>
      </c>
      <c r="D101" s="1" t="s">
        <v>33</v>
      </c>
      <c r="E101" s="2">
        <v>27.56</v>
      </c>
      <c r="F101" s="3">
        <v>6.72</v>
      </c>
      <c r="G101" s="3">
        <v>24.43</v>
      </c>
      <c r="H101" s="4">
        <v>262.08999999999997</v>
      </c>
      <c r="I101" s="3">
        <v>76.37</v>
      </c>
      <c r="J101" t="s">
        <v>25</v>
      </c>
      <c r="K101" s="5">
        <v>3.5073000000000003</v>
      </c>
      <c r="L101" s="6" cm="1">
        <f t="array" ref="L101">_xlfn.PERCENTILE.INC(_xlfn._xlws.FILTER(tabla_base[Rendimiento_por_hectarea_ton], tabla_base[tipo_cultivo]=tabla_base[[#This Row],[tipo_cultivo]]), 0.75)</f>
        <v>5.1635450000000001</v>
      </c>
      <c r="M101" s="7" t="str">
        <f>IF(tabla_base[[#This Row],[Rendimiento_por_hectarea_ton]]&gt;tabla_base[[#This Row],[percentil_0,75]],"Sí","No")</f>
        <v>No</v>
      </c>
      <c r="N101" s="3">
        <v>0.38</v>
      </c>
      <c r="O101" t="s">
        <v>26</v>
      </c>
    </row>
    <row r="102" spans="1:15" x14ac:dyDescent="0.35">
      <c r="A102" t="s">
        <v>134</v>
      </c>
      <c r="B102" s="1" t="s">
        <v>22</v>
      </c>
      <c r="C102" s="1" t="s">
        <v>30</v>
      </c>
      <c r="D102" s="1" t="s">
        <v>24</v>
      </c>
      <c r="E102" s="2">
        <v>26.95</v>
      </c>
      <c r="F102" s="3">
        <v>7.41</v>
      </c>
      <c r="G102" s="3">
        <v>20.58</v>
      </c>
      <c r="H102" s="4">
        <v>124.62</v>
      </c>
      <c r="I102" s="3">
        <v>87.07</v>
      </c>
      <c r="J102" t="s">
        <v>37</v>
      </c>
      <c r="K102" s="5">
        <v>3.9192100000000001</v>
      </c>
      <c r="L102" s="6" cm="1">
        <f t="array" ref="L102">_xlfn.PERCENTILE.INC(_xlfn._xlws.FILTER(tabla_base[Rendimiento_por_hectarea_ton], tabla_base[tipo_cultivo]=tabla_base[[#This Row],[tipo_cultivo]]), 0.75)</f>
        <v>5.3984449999999997</v>
      </c>
      <c r="M102" s="7" t="str">
        <f>IF(tabla_base[[#This Row],[Rendimiento_por_hectarea_ton]]&gt;tabla_base[[#This Row],[percentil_0,75]],"Sí","No")</f>
        <v>No</v>
      </c>
      <c r="N102" s="3">
        <v>0.9</v>
      </c>
      <c r="O102" t="s">
        <v>19</v>
      </c>
    </row>
    <row r="103" spans="1:15" x14ac:dyDescent="0.35">
      <c r="A103" t="s">
        <v>135</v>
      </c>
      <c r="B103" s="1" t="s">
        <v>39</v>
      </c>
      <c r="C103" s="1" t="s">
        <v>40</v>
      </c>
      <c r="D103" s="1" t="s">
        <v>24</v>
      </c>
      <c r="E103" s="2">
        <v>23.29</v>
      </c>
      <c r="F103" s="3">
        <v>7.46</v>
      </c>
      <c r="G103" s="3">
        <v>31.37</v>
      </c>
      <c r="H103" s="4">
        <v>288.64999999999998</v>
      </c>
      <c r="I103" s="3">
        <v>80.23</v>
      </c>
      <c r="J103" t="s">
        <v>37</v>
      </c>
      <c r="K103" s="5">
        <v>4.98935</v>
      </c>
      <c r="L103" s="6" cm="1">
        <f t="array" ref="L103">_xlfn.PERCENTILE.INC(_xlfn._xlws.FILTER(tabla_base[Rendimiento_por_hectarea_ton], tabla_base[tipo_cultivo]=tabla_base[[#This Row],[tipo_cultivo]]), 0.75)</f>
        <v>5.3984449999999997</v>
      </c>
      <c r="M103" s="7" t="str">
        <f>IF(tabla_base[[#This Row],[Rendimiento_por_hectarea_ton]]&gt;tabla_base[[#This Row],[percentil_0,75]],"Sí","No")</f>
        <v>No</v>
      </c>
      <c r="N103" s="3">
        <v>0.47</v>
      </c>
      <c r="O103" t="s">
        <v>44</v>
      </c>
    </row>
    <row r="104" spans="1:15" x14ac:dyDescent="0.35">
      <c r="A104" t="s">
        <v>136</v>
      </c>
      <c r="B104" s="1" t="s">
        <v>16</v>
      </c>
      <c r="C104" s="1" t="s">
        <v>23</v>
      </c>
      <c r="D104" s="1" t="s">
        <v>18</v>
      </c>
      <c r="E104" s="2">
        <v>31.55</v>
      </c>
      <c r="F104" s="3">
        <v>6.67</v>
      </c>
      <c r="G104" s="3">
        <v>19.850000000000001</v>
      </c>
      <c r="H104" s="4">
        <v>217.46</v>
      </c>
      <c r="I104" s="3">
        <v>66.55</v>
      </c>
      <c r="J104" t="s">
        <v>28</v>
      </c>
      <c r="K104" s="5">
        <v>4.7247700000000004</v>
      </c>
      <c r="L104" s="6" cm="1">
        <f t="array" ref="L104">_xlfn.PERCENTILE.INC(_xlfn._xlws.FILTER(tabla_base[Rendimiento_por_hectarea_ton], tabla_base[tipo_cultivo]=tabla_base[[#This Row],[tipo_cultivo]]), 0.75)</f>
        <v>5.2079399999999998</v>
      </c>
      <c r="M104" s="7" t="str">
        <f>IF(tabla_base[[#This Row],[Rendimiento_por_hectarea_ton]]&gt;tabla_base[[#This Row],[percentil_0,75]],"Sí","No")</f>
        <v>No</v>
      </c>
      <c r="N104" s="3">
        <v>0.74</v>
      </c>
      <c r="O104" t="s">
        <v>26</v>
      </c>
    </row>
    <row r="105" spans="1:15" x14ac:dyDescent="0.35">
      <c r="A105" t="s">
        <v>137</v>
      </c>
      <c r="B105" s="1" t="s">
        <v>22</v>
      </c>
      <c r="C105" s="1" t="s">
        <v>23</v>
      </c>
      <c r="D105" s="1" t="s">
        <v>33</v>
      </c>
      <c r="E105" s="2">
        <v>32.770000000000003</v>
      </c>
      <c r="F105" s="3">
        <v>7.01</v>
      </c>
      <c r="G105" s="3">
        <v>20.74</v>
      </c>
      <c r="H105" s="4">
        <v>121.35</v>
      </c>
      <c r="I105" s="3">
        <v>42.96</v>
      </c>
      <c r="J105" t="s">
        <v>25</v>
      </c>
      <c r="K105" s="5">
        <v>5.5289799999999998</v>
      </c>
      <c r="L105" s="6" cm="1">
        <f t="array" ref="L105">_xlfn.PERCENTILE.INC(_xlfn._xlws.FILTER(tabla_base[Rendimiento_por_hectarea_ton], tabla_base[tipo_cultivo]=tabla_base[[#This Row],[tipo_cultivo]]), 0.75)</f>
        <v>5.1635450000000001</v>
      </c>
      <c r="M105" s="7" t="str">
        <f>IF(tabla_base[[#This Row],[Rendimiento_por_hectarea_ton]]&gt;tabla_base[[#This Row],[percentil_0,75]],"Sí","No")</f>
        <v>Sí</v>
      </c>
      <c r="N105" s="3">
        <v>0.74</v>
      </c>
      <c r="O105" t="s">
        <v>44</v>
      </c>
    </row>
    <row r="106" spans="1:15" x14ac:dyDescent="0.35">
      <c r="A106" t="s">
        <v>138</v>
      </c>
      <c r="B106" s="1" t="s">
        <v>16</v>
      </c>
      <c r="C106" s="1" t="s">
        <v>23</v>
      </c>
      <c r="D106" s="1" t="s">
        <v>31</v>
      </c>
      <c r="E106" s="2">
        <v>40.69</v>
      </c>
      <c r="F106" s="3">
        <v>5.52</v>
      </c>
      <c r="G106" s="3">
        <v>26.36</v>
      </c>
      <c r="H106" s="4">
        <v>76.83</v>
      </c>
      <c r="I106" s="3">
        <v>89.15</v>
      </c>
      <c r="J106" t="s">
        <v>19</v>
      </c>
      <c r="K106" s="5">
        <v>5.2352600000000002</v>
      </c>
      <c r="L106" s="6" cm="1">
        <f t="array" ref="L106">_xlfn.PERCENTILE.INC(_xlfn._xlws.FILTER(tabla_base[Rendimiento_por_hectarea_ton], tabla_base[tipo_cultivo]=tabla_base[[#This Row],[tipo_cultivo]]), 0.75)</f>
        <v>5.1742550000000005</v>
      </c>
      <c r="M106" s="7" t="str">
        <f>IF(tabla_base[[#This Row],[Rendimiento_por_hectarea_ton]]&gt;tabla_base[[#This Row],[percentil_0,75]],"Sí","No")</f>
        <v>Sí</v>
      </c>
      <c r="N106" s="3">
        <v>0.35</v>
      </c>
      <c r="O106" t="s">
        <v>26</v>
      </c>
    </row>
    <row r="107" spans="1:15" x14ac:dyDescent="0.35">
      <c r="A107" t="s">
        <v>139</v>
      </c>
      <c r="B107" s="1" t="s">
        <v>16</v>
      </c>
      <c r="C107" s="1" t="s">
        <v>17</v>
      </c>
      <c r="D107" s="1" t="s">
        <v>31</v>
      </c>
      <c r="E107" s="2">
        <v>37.68</v>
      </c>
      <c r="F107" s="3">
        <v>6.64</v>
      </c>
      <c r="G107" s="3">
        <v>30.15</v>
      </c>
      <c r="H107" s="4">
        <v>93.87</v>
      </c>
      <c r="I107" s="3">
        <v>82.81</v>
      </c>
      <c r="J107" t="s">
        <v>19</v>
      </c>
      <c r="K107" s="5">
        <v>2.7391199999999998</v>
      </c>
      <c r="L107" s="6" cm="1">
        <f t="array" ref="L107">_xlfn.PERCENTILE.INC(_xlfn._xlws.FILTER(tabla_base[Rendimiento_por_hectarea_ton], tabla_base[tipo_cultivo]=tabla_base[[#This Row],[tipo_cultivo]]), 0.75)</f>
        <v>5.1742550000000005</v>
      </c>
      <c r="M107" s="7" t="str">
        <f>IF(tabla_base[[#This Row],[Rendimiento_por_hectarea_ton]]&gt;tabla_base[[#This Row],[percentil_0,75]],"Sí","No")</f>
        <v>No</v>
      </c>
      <c r="N107" s="3">
        <v>0.55000000000000004</v>
      </c>
      <c r="O107" t="s">
        <v>20</v>
      </c>
    </row>
    <row r="108" spans="1:15" x14ac:dyDescent="0.35">
      <c r="A108" t="s">
        <v>140</v>
      </c>
      <c r="B108" s="1" t="s">
        <v>16</v>
      </c>
      <c r="C108" s="1" t="s">
        <v>23</v>
      </c>
      <c r="D108" s="1" t="s">
        <v>33</v>
      </c>
      <c r="E108" s="2">
        <v>36.380000000000003</v>
      </c>
      <c r="F108" s="3">
        <v>7.41</v>
      </c>
      <c r="G108" s="3">
        <v>21.04</v>
      </c>
      <c r="H108" s="4">
        <v>230.72</v>
      </c>
      <c r="I108" s="3">
        <v>40.57</v>
      </c>
      <c r="J108" t="s">
        <v>25</v>
      </c>
      <c r="K108" s="5">
        <v>3.6216699999999999</v>
      </c>
      <c r="L108" s="6" cm="1">
        <f t="array" ref="L108">_xlfn.PERCENTILE.INC(_xlfn._xlws.FILTER(tabla_base[Rendimiento_por_hectarea_ton], tabla_base[tipo_cultivo]=tabla_base[[#This Row],[tipo_cultivo]]), 0.75)</f>
        <v>5.1635450000000001</v>
      </c>
      <c r="M108" s="7" t="str">
        <f>IF(tabla_base[[#This Row],[Rendimiento_por_hectarea_ton]]&gt;tabla_base[[#This Row],[percentil_0,75]],"Sí","No")</f>
        <v>No</v>
      </c>
      <c r="N108" s="3">
        <v>0.47</v>
      </c>
      <c r="O108" t="s">
        <v>19</v>
      </c>
    </row>
    <row r="109" spans="1:15" x14ac:dyDescent="0.35">
      <c r="A109" t="s">
        <v>141</v>
      </c>
      <c r="B109" s="1" t="s">
        <v>22</v>
      </c>
      <c r="C109" s="1" t="s">
        <v>30</v>
      </c>
      <c r="D109" s="1" t="s">
        <v>31</v>
      </c>
      <c r="E109" s="2">
        <v>31.51</v>
      </c>
      <c r="F109" s="3">
        <v>5.94</v>
      </c>
      <c r="G109" s="3">
        <v>17.670000000000002</v>
      </c>
      <c r="H109" s="4">
        <v>88.3</v>
      </c>
      <c r="I109" s="3">
        <v>77.39</v>
      </c>
      <c r="J109" t="s">
        <v>19</v>
      </c>
      <c r="K109" s="5">
        <v>5.2079799999999992</v>
      </c>
      <c r="L109" s="6" cm="1">
        <f t="array" ref="L109">_xlfn.PERCENTILE.INC(_xlfn._xlws.FILTER(tabla_base[Rendimiento_por_hectarea_ton], tabla_base[tipo_cultivo]=tabla_base[[#This Row],[tipo_cultivo]]), 0.75)</f>
        <v>5.1742550000000005</v>
      </c>
      <c r="M109" s="7" t="str">
        <f>IF(tabla_base[[#This Row],[Rendimiento_por_hectarea_ton]]&gt;tabla_base[[#This Row],[percentil_0,75]],"Sí","No")</f>
        <v>Sí</v>
      </c>
      <c r="N109" s="3">
        <v>0.84</v>
      </c>
      <c r="O109" t="s">
        <v>26</v>
      </c>
    </row>
    <row r="110" spans="1:15" x14ac:dyDescent="0.35">
      <c r="A110" t="s">
        <v>142</v>
      </c>
      <c r="B110" s="1" t="s">
        <v>39</v>
      </c>
      <c r="C110" s="1" t="s">
        <v>40</v>
      </c>
      <c r="D110" s="1" t="s">
        <v>33</v>
      </c>
      <c r="E110" s="2">
        <v>28.49</v>
      </c>
      <c r="F110" s="3">
        <v>6.22</v>
      </c>
      <c r="G110" s="3">
        <v>33.340000000000003</v>
      </c>
      <c r="H110" s="4">
        <v>78.05</v>
      </c>
      <c r="I110" s="3">
        <v>81.44</v>
      </c>
      <c r="J110" t="s">
        <v>25</v>
      </c>
      <c r="K110" s="5">
        <v>4.0813699999999997</v>
      </c>
      <c r="L110" s="6" cm="1">
        <f t="array" ref="L110">_xlfn.PERCENTILE.INC(_xlfn._xlws.FILTER(tabla_base[Rendimiento_por_hectarea_ton], tabla_base[tipo_cultivo]=tabla_base[[#This Row],[tipo_cultivo]]), 0.75)</f>
        <v>5.1635450000000001</v>
      </c>
      <c r="M110" s="7" t="str">
        <f>IF(tabla_base[[#This Row],[Rendimiento_por_hectarea_ton]]&gt;tabla_base[[#This Row],[percentil_0,75]],"Sí","No")</f>
        <v>No</v>
      </c>
      <c r="N110" s="3">
        <v>0.86</v>
      </c>
      <c r="O110" t="s">
        <v>44</v>
      </c>
    </row>
    <row r="111" spans="1:15" x14ac:dyDescent="0.35">
      <c r="A111" t="s">
        <v>143</v>
      </c>
      <c r="B111" s="1" t="s">
        <v>16</v>
      </c>
      <c r="C111" s="1" t="s">
        <v>17</v>
      </c>
      <c r="D111" s="1" t="s">
        <v>33</v>
      </c>
      <c r="E111" s="2">
        <v>14.62</v>
      </c>
      <c r="F111" s="3">
        <v>6.33</v>
      </c>
      <c r="G111" s="3">
        <v>26.28</v>
      </c>
      <c r="H111" s="4">
        <v>189.7</v>
      </c>
      <c r="I111" s="3">
        <v>73.64</v>
      </c>
      <c r="J111" t="s">
        <v>28</v>
      </c>
      <c r="K111" s="5">
        <v>4.31325</v>
      </c>
      <c r="L111" s="6" cm="1">
        <f t="array" ref="L111">_xlfn.PERCENTILE.INC(_xlfn._xlws.FILTER(tabla_base[Rendimiento_por_hectarea_ton], tabla_base[tipo_cultivo]=tabla_base[[#This Row],[tipo_cultivo]]), 0.75)</f>
        <v>5.1635450000000001</v>
      </c>
      <c r="M111" s="7" t="str">
        <f>IF(tabla_base[[#This Row],[Rendimiento_por_hectarea_ton]]&gt;tabla_base[[#This Row],[percentil_0,75]],"Sí","No")</f>
        <v>No</v>
      </c>
      <c r="N111" s="3">
        <v>0.38</v>
      </c>
      <c r="O111" t="s">
        <v>26</v>
      </c>
    </row>
    <row r="112" spans="1:15" x14ac:dyDescent="0.35">
      <c r="A112" t="s">
        <v>144</v>
      </c>
      <c r="B112" s="1" t="s">
        <v>16</v>
      </c>
      <c r="C112" s="1" t="s">
        <v>17</v>
      </c>
      <c r="D112" s="1" t="s">
        <v>33</v>
      </c>
      <c r="E112" s="2">
        <v>11.11</v>
      </c>
      <c r="F112" s="3">
        <v>6.32</v>
      </c>
      <c r="G112" s="3">
        <v>30.38</v>
      </c>
      <c r="H112" s="4">
        <v>241.46</v>
      </c>
      <c r="I112" s="3">
        <v>88.92</v>
      </c>
      <c r="J112" t="s">
        <v>19</v>
      </c>
      <c r="K112" s="5">
        <v>5.6684599999999996</v>
      </c>
      <c r="L112" s="6" cm="1">
        <f t="array" ref="L112">_xlfn.PERCENTILE.INC(_xlfn._xlws.FILTER(tabla_base[Rendimiento_por_hectarea_ton], tabla_base[tipo_cultivo]=tabla_base[[#This Row],[tipo_cultivo]]), 0.75)</f>
        <v>5.1635450000000001</v>
      </c>
      <c r="M112" s="7" t="str">
        <f>IF(tabla_base[[#This Row],[Rendimiento_por_hectarea_ton]]&gt;tabla_base[[#This Row],[percentil_0,75]],"Sí","No")</f>
        <v>Sí</v>
      </c>
      <c r="N112" s="3">
        <v>0.42</v>
      </c>
      <c r="O112" t="s">
        <v>26</v>
      </c>
    </row>
    <row r="113" spans="1:15" x14ac:dyDescent="0.35">
      <c r="A113" t="s">
        <v>145</v>
      </c>
      <c r="B113" s="1" t="s">
        <v>22</v>
      </c>
      <c r="C113" s="1" t="s">
        <v>30</v>
      </c>
      <c r="D113" s="1" t="s">
        <v>18</v>
      </c>
      <c r="E113" s="2">
        <v>16.25</v>
      </c>
      <c r="F113" s="3">
        <v>6.57</v>
      </c>
      <c r="G113" s="3">
        <v>25.58</v>
      </c>
      <c r="H113" s="4">
        <v>231.96</v>
      </c>
      <c r="I113" s="3">
        <v>51.13</v>
      </c>
      <c r="J113" t="s">
        <v>28</v>
      </c>
      <c r="K113" s="5">
        <v>4.1277299999999997</v>
      </c>
      <c r="L113" s="6" cm="1">
        <f t="array" ref="L113">_xlfn.PERCENTILE.INC(_xlfn._xlws.FILTER(tabla_base[Rendimiento_por_hectarea_ton], tabla_base[tipo_cultivo]=tabla_base[[#This Row],[tipo_cultivo]]), 0.75)</f>
        <v>5.2079399999999998</v>
      </c>
      <c r="M113" s="7" t="str">
        <f>IF(tabla_base[[#This Row],[Rendimiento_por_hectarea_ton]]&gt;tabla_base[[#This Row],[percentil_0,75]],"Sí","No")</f>
        <v>No</v>
      </c>
      <c r="N113" s="3">
        <v>0.5</v>
      </c>
      <c r="O113" t="s">
        <v>26</v>
      </c>
    </row>
    <row r="114" spans="1:15" x14ac:dyDescent="0.35">
      <c r="A114" t="s">
        <v>146</v>
      </c>
      <c r="B114" s="1" t="s">
        <v>16</v>
      </c>
      <c r="C114" s="1" t="s">
        <v>17</v>
      </c>
      <c r="D114" s="1" t="s">
        <v>18</v>
      </c>
      <c r="E114" s="2">
        <v>38.33</v>
      </c>
      <c r="F114" s="3">
        <v>6.34</v>
      </c>
      <c r="G114" s="3">
        <v>30.32</v>
      </c>
      <c r="H114" s="4">
        <v>270.94</v>
      </c>
      <c r="I114" s="3">
        <v>40.78</v>
      </c>
      <c r="J114" t="s">
        <v>28</v>
      </c>
      <c r="K114" s="5">
        <v>5.4888500000000002</v>
      </c>
      <c r="L114" s="6" cm="1">
        <f t="array" ref="L114">_xlfn.PERCENTILE.INC(_xlfn._xlws.FILTER(tabla_base[Rendimiento_por_hectarea_ton], tabla_base[tipo_cultivo]=tabla_base[[#This Row],[tipo_cultivo]]), 0.75)</f>
        <v>5.2079399999999998</v>
      </c>
      <c r="M114" s="7" t="str">
        <f>IF(tabla_base[[#This Row],[Rendimiento_por_hectarea_ton]]&gt;tabla_base[[#This Row],[percentil_0,75]],"Sí","No")</f>
        <v>Sí</v>
      </c>
      <c r="N114" s="3">
        <v>0.7</v>
      </c>
      <c r="O114" t="s">
        <v>44</v>
      </c>
    </row>
    <row r="115" spans="1:15" x14ac:dyDescent="0.35">
      <c r="A115" t="s">
        <v>147</v>
      </c>
      <c r="B115" s="1" t="s">
        <v>16</v>
      </c>
      <c r="C115" s="1" t="s">
        <v>17</v>
      </c>
      <c r="D115" s="1" t="s">
        <v>35</v>
      </c>
      <c r="E115" s="2">
        <v>27.64</v>
      </c>
      <c r="F115" s="3">
        <v>6.08</v>
      </c>
      <c r="G115" s="3">
        <v>31.32</v>
      </c>
      <c r="H115" s="4">
        <v>232.88</v>
      </c>
      <c r="I115" s="3">
        <v>55.95</v>
      </c>
      <c r="J115" t="s">
        <v>37</v>
      </c>
      <c r="K115" s="5">
        <v>2.8841700000000001</v>
      </c>
      <c r="L115" s="6" cm="1">
        <f t="array" ref="L115">_xlfn.PERCENTILE.INC(_xlfn._xlws.FILTER(tabla_base[Rendimiento_por_hectarea_ton], tabla_base[tipo_cultivo]=tabla_base[[#This Row],[tipo_cultivo]]), 0.75)</f>
        <v>5.1318025</v>
      </c>
      <c r="M115" s="7" t="str">
        <f>IF(tabla_base[[#This Row],[Rendimiento_por_hectarea_ton]]&gt;tabla_base[[#This Row],[percentil_0,75]],"Sí","No")</f>
        <v>No</v>
      </c>
      <c r="N115" s="3">
        <v>0.85</v>
      </c>
      <c r="O115" t="s">
        <v>20</v>
      </c>
    </row>
    <row r="116" spans="1:15" x14ac:dyDescent="0.35">
      <c r="A116" t="s">
        <v>148</v>
      </c>
      <c r="B116" s="1" t="s">
        <v>22</v>
      </c>
      <c r="C116" s="1" t="s">
        <v>23</v>
      </c>
      <c r="D116" s="1" t="s">
        <v>24</v>
      </c>
      <c r="E116" s="2">
        <v>27.35</v>
      </c>
      <c r="F116" s="3">
        <v>7.44</v>
      </c>
      <c r="G116" s="3">
        <v>33.83</v>
      </c>
      <c r="H116" s="4">
        <v>217.84</v>
      </c>
      <c r="I116" s="3">
        <v>79.290000000000006</v>
      </c>
      <c r="J116" t="s">
        <v>19</v>
      </c>
      <c r="K116" s="5">
        <v>4.1517100000000005</v>
      </c>
      <c r="L116" s="6" cm="1">
        <f t="array" ref="L116">_xlfn.PERCENTILE.INC(_xlfn._xlws.FILTER(tabla_base[Rendimiento_por_hectarea_ton], tabla_base[tipo_cultivo]=tabla_base[[#This Row],[tipo_cultivo]]), 0.75)</f>
        <v>5.3984449999999997</v>
      </c>
      <c r="M116" s="7" t="str">
        <f>IF(tabla_base[[#This Row],[Rendimiento_por_hectarea_ton]]&gt;tabla_base[[#This Row],[percentil_0,75]],"Sí","No")</f>
        <v>No</v>
      </c>
      <c r="N116" s="3">
        <v>0.67</v>
      </c>
      <c r="O116" t="s">
        <v>26</v>
      </c>
    </row>
    <row r="117" spans="1:15" x14ac:dyDescent="0.35">
      <c r="A117" t="s">
        <v>149</v>
      </c>
      <c r="B117" s="1" t="s">
        <v>16</v>
      </c>
      <c r="C117" s="1" t="s">
        <v>17</v>
      </c>
      <c r="D117" s="1" t="s">
        <v>24</v>
      </c>
      <c r="E117" s="2">
        <v>24.44</v>
      </c>
      <c r="F117" s="3">
        <v>6.33</v>
      </c>
      <c r="G117" s="3">
        <v>25.6</v>
      </c>
      <c r="H117" s="4">
        <v>147.1</v>
      </c>
      <c r="I117" s="3">
        <v>52.75</v>
      </c>
      <c r="J117" t="s">
        <v>28</v>
      </c>
      <c r="K117" s="5">
        <v>5.3176300000000003</v>
      </c>
      <c r="L117" s="6" cm="1">
        <f t="array" ref="L117">_xlfn.PERCENTILE.INC(_xlfn._xlws.FILTER(tabla_base[Rendimiento_por_hectarea_ton], tabla_base[tipo_cultivo]=tabla_base[[#This Row],[tipo_cultivo]]), 0.75)</f>
        <v>5.3984449999999997</v>
      </c>
      <c r="M117" s="7" t="str">
        <f>IF(tabla_base[[#This Row],[Rendimiento_por_hectarea_ton]]&gt;tabla_base[[#This Row],[percentil_0,75]],"Sí","No")</f>
        <v>No</v>
      </c>
      <c r="N117" s="3">
        <v>0.34</v>
      </c>
      <c r="O117" t="s">
        <v>20</v>
      </c>
    </row>
    <row r="118" spans="1:15" x14ac:dyDescent="0.35">
      <c r="A118" t="s">
        <v>150</v>
      </c>
      <c r="B118" s="1" t="s">
        <v>16</v>
      </c>
      <c r="C118" s="1" t="s">
        <v>23</v>
      </c>
      <c r="D118" s="1" t="s">
        <v>24</v>
      </c>
      <c r="E118" s="2">
        <v>35.35</v>
      </c>
      <c r="F118" s="3">
        <v>6.62</v>
      </c>
      <c r="G118" s="3">
        <v>24.59</v>
      </c>
      <c r="H118" s="4">
        <v>267.37</v>
      </c>
      <c r="I118" s="3">
        <v>56.65</v>
      </c>
      <c r="J118" t="s">
        <v>28</v>
      </c>
      <c r="K118" s="5">
        <v>5.9982899999999999</v>
      </c>
      <c r="L118" s="6" cm="1">
        <f t="array" ref="L118">_xlfn.PERCENTILE.INC(_xlfn._xlws.FILTER(tabla_base[Rendimiento_por_hectarea_ton], tabla_base[tipo_cultivo]=tabla_base[[#This Row],[tipo_cultivo]]), 0.75)</f>
        <v>5.3984449999999997</v>
      </c>
      <c r="M118" s="7" t="str">
        <f>IF(tabla_base[[#This Row],[Rendimiento_por_hectarea_ton]]&gt;tabla_base[[#This Row],[percentil_0,75]],"Sí","No")</f>
        <v>Sí</v>
      </c>
      <c r="N118" s="3">
        <v>0.57999999999999996</v>
      </c>
      <c r="O118" t="s">
        <v>19</v>
      </c>
    </row>
    <row r="119" spans="1:15" x14ac:dyDescent="0.35">
      <c r="A119" t="s">
        <v>151</v>
      </c>
      <c r="B119" s="1" t="s">
        <v>16</v>
      </c>
      <c r="C119" s="1" t="s">
        <v>23</v>
      </c>
      <c r="D119" s="1" t="s">
        <v>24</v>
      </c>
      <c r="E119" s="2">
        <v>21.26</v>
      </c>
      <c r="F119" s="3">
        <v>6.07</v>
      </c>
      <c r="G119" s="3">
        <v>24.33</v>
      </c>
      <c r="H119" s="4">
        <v>212.18</v>
      </c>
      <c r="I119" s="3">
        <v>55.42</v>
      </c>
      <c r="J119" t="s">
        <v>19</v>
      </c>
      <c r="K119" s="5">
        <v>5.3589200000000003</v>
      </c>
      <c r="L119" s="6" cm="1">
        <f t="array" ref="L119">_xlfn.PERCENTILE.INC(_xlfn._xlws.FILTER(tabla_base[Rendimiento_por_hectarea_ton], tabla_base[tipo_cultivo]=tabla_base[[#This Row],[tipo_cultivo]]), 0.75)</f>
        <v>5.3984449999999997</v>
      </c>
      <c r="M119" s="7" t="str">
        <f>IF(tabla_base[[#This Row],[Rendimiento_por_hectarea_ton]]&gt;tabla_base[[#This Row],[percentil_0,75]],"Sí","No")</f>
        <v>No</v>
      </c>
      <c r="N119" s="3">
        <v>0.59</v>
      </c>
      <c r="O119" t="s">
        <v>20</v>
      </c>
    </row>
    <row r="120" spans="1:15" x14ac:dyDescent="0.35">
      <c r="A120" t="s">
        <v>152</v>
      </c>
      <c r="B120" s="1" t="s">
        <v>16</v>
      </c>
      <c r="C120" s="1" t="s">
        <v>23</v>
      </c>
      <c r="D120" s="1" t="s">
        <v>18</v>
      </c>
      <c r="E120" s="2">
        <v>19.13</v>
      </c>
      <c r="F120" s="3">
        <v>7.37</v>
      </c>
      <c r="G120" s="3">
        <v>26.58</v>
      </c>
      <c r="H120" s="4">
        <v>154.38999999999999</v>
      </c>
      <c r="I120" s="3">
        <v>47.62</v>
      </c>
      <c r="J120" t="s">
        <v>19</v>
      </c>
      <c r="K120" s="5">
        <v>5.77386</v>
      </c>
      <c r="L120" s="6" cm="1">
        <f t="array" ref="L120">_xlfn.PERCENTILE.INC(_xlfn._xlws.FILTER(tabla_base[Rendimiento_por_hectarea_ton], tabla_base[tipo_cultivo]=tabla_base[[#This Row],[tipo_cultivo]]), 0.75)</f>
        <v>5.2079399999999998</v>
      </c>
      <c r="M120" s="7" t="str">
        <f>IF(tabla_base[[#This Row],[Rendimiento_por_hectarea_ton]]&gt;tabla_base[[#This Row],[percentil_0,75]],"Sí","No")</f>
        <v>Sí</v>
      </c>
      <c r="N120" s="3">
        <v>0.8</v>
      </c>
      <c r="O120" t="s">
        <v>26</v>
      </c>
    </row>
    <row r="121" spans="1:15" x14ac:dyDescent="0.35">
      <c r="A121" t="s">
        <v>153</v>
      </c>
      <c r="B121" s="1" t="s">
        <v>22</v>
      </c>
      <c r="C121" s="1" t="s">
        <v>23</v>
      </c>
      <c r="D121" s="1" t="s">
        <v>35</v>
      </c>
      <c r="E121" s="2">
        <v>35.65</v>
      </c>
      <c r="F121" s="3">
        <v>6.2</v>
      </c>
      <c r="G121" s="3">
        <v>17.8</v>
      </c>
      <c r="H121" s="4">
        <v>186.64</v>
      </c>
      <c r="I121" s="3">
        <v>49.2</v>
      </c>
      <c r="J121" t="s">
        <v>28</v>
      </c>
      <c r="K121" s="5">
        <v>2.1940599999999999</v>
      </c>
      <c r="L121" s="6" cm="1">
        <f t="array" ref="L121">_xlfn.PERCENTILE.INC(_xlfn._xlws.FILTER(tabla_base[Rendimiento_por_hectarea_ton], tabla_base[tipo_cultivo]=tabla_base[[#This Row],[tipo_cultivo]]), 0.75)</f>
        <v>5.1318025</v>
      </c>
      <c r="M121" s="7" t="str">
        <f>IF(tabla_base[[#This Row],[Rendimiento_por_hectarea_ton]]&gt;tabla_base[[#This Row],[percentil_0,75]],"Sí","No")</f>
        <v>No</v>
      </c>
      <c r="N121" s="3">
        <v>0.39</v>
      </c>
      <c r="O121" t="s">
        <v>26</v>
      </c>
    </row>
    <row r="122" spans="1:15" x14ac:dyDescent="0.35">
      <c r="A122" t="s">
        <v>154</v>
      </c>
      <c r="B122" s="1" t="s">
        <v>16</v>
      </c>
      <c r="C122" s="1" t="s">
        <v>17</v>
      </c>
      <c r="D122" s="1" t="s">
        <v>35</v>
      </c>
      <c r="E122" s="2">
        <v>27.7</v>
      </c>
      <c r="F122" s="3">
        <v>6.25</v>
      </c>
      <c r="G122" s="3">
        <v>27.36</v>
      </c>
      <c r="H122" s="4">
        <v>216.69</v>
      </c>
      <c r="I122" s="3">
        <v>70.83</v>
      </c>
      <c r="J122" t="s">
        <v>19</v>
      </c>
      <c r="K122" s="5">
        <v>2.0669</v>
      </c>
      <c r="L122" s="6" cm="1">
        <f t="array" ref="L122">_xlfn.PERCENTILE.INC(_xlfn._xlws.FILTER(tabla_base[Rendimiento_por_hectarea_ton], tabla_base[tipo_cultivo]=tabla_base[[#This Row],[tipo_cultivo]]), 0.75)</f>
        <v>5.1318025</v>
      </c>
      <c r="M122" s="7" t="str">
        <f>IF(tabla_base[[#This Row],[Rendimiento_por_hectarea_ton]]&gt;tabla_base[[#This Row],[percentil_0,75]],"Sí","No")</f>
        <v>No</v>
      </c>
      <c r="N122" s="3">
        <v>0.59</v>
      </c>
      <c r="O122" t="s">
        <v>20</v>
      </c>
    </row>
    <row r="123" spans="1:15" x14ac:dyDescent="0.35">
      <c r="A123" t="s">
        <v>155</v>
      </c>
      <c r="B123" s="1" t="s">
        <v>16</v>
      </c>
      <c r="C123" s="1" t="s">
        <v>23</v>
      </c>
      <c r="D123" s="1" t="s">
        <v>18</v>
      </c>
      <c r="E123" s="2">
        <v>42.13</v>
      </c>
      <c r="F123" s="3">
        <v>6.55</v>
      </c>
      <c r="G123" s="3">
        <v>19.82</v>
      </c>
      <c r="H123" s="4">
        <v>204.95</v>
      </c>
      <c r="I123" s="3">
        <v>52.62</v>
      </c>
      <c r="J123" t="s">
        <v>19</v>
      </c>
      <c r="K123" s="5">
        <v>2.9728300000000001</v>
      </c>
      <c r="L123" s="6" cm="1">
        <f t="array" ref="L123">_xlfn.PERCENTILE.INC(_xlfn._xlws.FILTER(tabla_base[Rendimiento_por_hectarea_ton], tabla_base[tipo_cultivo]=tabla_base[[#This Row],[tipo_cultivo]]), 0.75)</f>
        <v>5.2079399999999998</v>
      </c>
      <c r="M123" s="7" t="str">
        <f>IF(tabla_base[[#This Row],[Rendimiento_por_hectarea_ton]]&gt;tabla_base[[#This Row],[percentil_0,75]],"Sí","No")</f>
        <v>No</v>
      </c>
      <c r="N123" s="3">
        <v>0.59</v>
      </c>
      <c r="O123" t="s">
        <v>20</v>
      </c>
    </row>
    <row r="124" spans="1:15" x14ac:dyDescent="0.35">
      <c r="A124" t="s">
        <v>156</v>
      </c>
      <c r="B124" s="1" t="s">
        <v>16</v>
      </c>
      <c r="C124" s="1" t="s">
        <v>17</v>
      </c>
      <c r="D124" s="1" t="s">
        <v>33</v>
      </c>
      <c r="E124" s="2">
        <v>23.27</v>
      </c>
      <c r="F124" s="3">
        <v>6.61</v>
      </c>
      <c r="G124" s="3">
        <v>16.12</v>
      </c>
      <c r="H124" s="4">
        <v>52.36</v>
      </c>
      <c r="I124" s="3">
        <v>48.57</v>
      </c>
      <c r="J124" t="s">
        <v>19</v>
      </c>
      <c r="K124" s="5">
        <v>5.5791599999999999</v>
      </c>
      <c r="L124" s="6" cm="1">
        <f t="array" ref="L124">_xlfn.PERCENTILE.INC(_xlfn._xlws.FILTER(tabla_base[Rendimiento_por_hectarea_ton], tabla_base[tipo_cultivo]=tabla_base[[#This Row],[tipo_cultivo]]), 0.75)</f>
        <v>5.1635450000000001</v>
      </c>
      <c r="M124" s="7" t="str">
        <f>IF(tabla_base[[#This Row],[Rendimiento_por_hectarea_ton]]&gt;tabla_base[[#This Row],[percentil_0,75]],"Sí","No")</f>
        <v>Sí</v>
      </c>
      <c r="N124" s="3">
        <v>0.46</v>
      </c>
      <c r="O124" t="s">
        <v>44</v>
      </c>
    </row>
    <row r="125" spans="1:15" x14ac:dyDescent="0.35">
      <c r="A125" t="s">
        <v>157</v>
      </c>
      <c r="B125" s="1" t="s">
        <v>22</v>
      </c>
      <c r="C125" s="1" t="s">
        <v>30</v>
      </c>
      <c r="D125" s="1" t="s">
        <v>18</v>
      </c>
      <c r="E125" s="2">
        <v>42.35</v>
      </c>
      <c r="F125" s="3">
        <v>6.87</v>
      </c>
      <c r="G125" s="3">
        <v>20.61</v>
      </c>
      <c r="H125" s="4">
        <v>185.76</v>
      </c>
      <c r="I125" s="3">
        <v>72.91</v>
      </c>
      <c r="J125" t="s">
        <v>37</v>
      </c>
      <c r="K125" s="5">
        <v>5.2827600000000006</v>
      </c>
      <c r="L125" s="6" cm="1">
        <f t="array" ref="L125">_xlfn.PERCENTILE.INC(_xlfn._xlws.FILTER(tabla_base[Rendimiento_por_hectarea_ton], tabla_base[tipo_cultivo]=tabla_base[[#This Row],[tipo_cultivo]]), 0.75)</f>
        <v>5.2079399999999998</v>
      </c>
      <c r="M125" s="7" t="str">
        <f>IF(tabla_base[[#This Row],[Rendimiento_por_hectarea_ton]]&gt;tabla_base[[#This Row],[percentil_0,75]],"Sí","No")</f>
        <v>Sí</v>
      </c>
      <c r="N125" s="3">
        <v>0.35</v>
      </c>
      <c r="O125" t="s">
        <v>19</v>
      </c>
    </row>
    <row r="126" spans="1:15" x14ac:dyDescent="0.35">
      <c r="A126" t="s">
        <v>158</v>
      </c>
      <c r="B126" s="1" t="s">
        <v>39</v>
      </c>
      <c r="C126" s="1" t="s">
        <v>40</v>
      </c>
      <c r="D126" s="1" t="s">
        <v>31</v>
      </c>
      <c r="E126" s="2">
        <v>23.43</v>
      </c>
      <c r="F126" s="3">
        <v>6.98</v>
      </c>
      <c r="G126" s="3">
        <v>30.81</v>
      </c>
      <c r="H126" s="4">
        <v>222.33</v>
      </c>
      <c r="I126" s="3">
        <v>43.92</v>
      </c>
      <c r="J126" t="s">
        <v>37</v>
      </c>
      <c r="K126" s="5">
        <v>3.3623699999999999</v>
      </c>
      <c r="L126" s="6" cm="1">
        <f t="array" ref="L126">_xlfn.PERCENTILE.INC(_xlfn._xlws.FILTER(tabla_base[Rendimiento_por_hectarea_ton], tabla_base[tipo_cultivo]=tabla_base[[#This Row],[tipo_cultivo]]), 0.75)</f>
        <v>5.1742550000000005</v>
      </c>
      <c r="M126" s="7" t="str">
        <f>IF(tabla_base[[#This Row],[Rendimiento_por_hectarea_ton]]&gt;tabla_base[[#This Row],[percentil_0,75]],"Sí","No")</f>
        <v>No</v>
      </c>
      <c r="N126" s="3">
        <v>0.37</v>
      </c>
      <c r="O126" t="s">
        <v>19</v>
      </c>
    </row>
    <row r="127" spans="1:15" x14ac:dyDescent="0.35">
      <c r="A127" t="s">
        <v>159</v>
      </c>
      <c r="B127" s="1" t="s">
        <v>22</v>
      </c>
      <c r="C127" s="1" t="s">
        <v>30</v>
      </c>
      <c r="D127" s="1" t="s">
        <v>33</v>
      </c>
      <c r="E127" s="2">
        <v>27.17</v>
      </c>
      <c r="F127" s="3">
        <v>6.21</v>
      </c>
      <c r="G127" s="3">
        <v>33.82</v>
      </c>
      <c r="H127" s="4">
        <v>157.96</v>
      </c>
      <c r="I127" s="3">
        <v>73.98</v>
      </c>
      <c r="J127" t="s">
        <v>28</v>
      </c>
      <c r="K127" s="5">
        <v>2.3281499999999999</v>
      </c>
      <c r="L127" s="6" cm="1">
        <f t="array" ref="L127">_xlfn.PERCENTILE.INC(_xlfn._xlws.FILTER(tabla_base[Rendimiento_por_hectarea_ton], tabla_base[tipo_cultivo]=tabla_base[[#This Row],[tipo_cultivo]]), 0.75)</f>
        <v>5.1635450000000001</v>
      </c>
      <c r="M127" s="7" t="str">
        <f>IF(tabla_base[[#This Row],[Rendimiento_por_hectarea_ton]]&gt;tabla_base[[#This Row],[percentil_0,75]],"Sí","No")</f>
        <v>No</v>
      </c>
      <c r="N127" s="3">
        <v>0.41</v>
      </c>
      <c r="O127" t="s">
        <v>19</v>
      </c>
    </row>
    <row r="128" spans="1:15" x14ac:dyDescent="0.35">
      <c r="A128" t="s">
        <v>160</v>
      </c>
      <c r="B128" s="1" t="s">
        <v>22</v>
      </c>
      <c r="C128" s="1" t="s">
        <v>30</v>
      </c>
      <c r="D128" s="1" t="s">
        <v>31</v>
      </c>
      <c r="E128" s="2">
        <v>13.73</v>
      </c>
      <c r="F128" s="3">
        <v>5.51</v>
      </c>
      <c r="G128" s="3">
        <v>21.17</v>
      </c>
      <c r="H128" s="4">
        <v>139.97999999999999</v>
      </c>
      <c r="I128" s="3">
        <v>53.49</v>
      </c>
      <c r="J128" t="s">
        <v>25</v>
      </c>
      <c r="K128" s="5">
        <v>2.41317</v>
      </c>
      <c r="L128" s="6" cm="1">
        <f t="array" ref="L128">_xlfn.PERCENTILE.INC(_xlfn._xlws.FILTER(tabla_base[Rendimiento_por_hectarea_ton], tabla_base[tipo_cultivo]=tabla_base[[#This Row],[tipo_cultivo]]), 0.75)</f>
        <v>5.1742550000000005</v>
      </c>
      <c r="M128" s="7" t="str">
        <f>IF(tabla_base[[#This Row],[Rendimiento_por_hectarea_ton]]&gt;tabla_base[[#This Row],[percentil_0,75]],"Sí","No")</f>
        <v>No</v>
      </c>
      <c r="N128" s="3">
        <v>0.4</v>
      </c>
      <c r="O128" t="s">
        <v>44</v>
      </c>
    </row>
    <row r="129" spans="1:15" x14ac:dyDescent="0.35">
      <c r="A129" t="s">
        <v>161</v>
      </c>
      <c r="B129" s="1" t="s">
        <v>22</v>
      </c>
      <c r="C129" s="1" t="s">
        <v>23</v>
      </c>
      <c r="D129" s="1" t="s">
        <v>18</v>
      </c>
      <c r="E129" s="2">
        <v>20.21</v>
      </c>
      <c r="F129" s="3">
        <v>6.28</v>
      </c>
      <c r="G129" s="3">
        <v>16.690000000000001</v>
      </c>
      <c r="H129" s="4">
        <v>275.27999999999997</v>
      </c>
      <c r="I129" s="3">
        <v>85.26</v>
      </c>
      <c r="J129" t="s">
        <v>25</v>
      </c>
      <c r="K129" s="5">
        <v>3.0736300000000001</v>
      </c>
      <c r="L129" s="6" cm="1">
        <f t="array" ref="L129">_xlfn.PERCENTILE.INC(_xlfn._xlws.FILTER(tabla_base[Rendimiento_por_hectarea_ton], tabla_base[tipo_cultivo]=tabla_base[[#This Row],[tipo_cultivo]]), 0.75)</f>
        <v>5.2079399999999998</v>
      </c>
      <c r="M129" s="7" t="str">
        <f>IF(tabla_base[[#This Row],[Rendimiento_por_hectarea_ton]]&gt;tabla_base[[#This Row],[percentil_0,75]],"Sí","No")</f>
        <v>No</v>
      </c>
      <c r="N129" s="3">
        <v>0.49</v>
      </c>
      <c r="O129" t="s">
        <v>20</v>
      </c>
    </row>
    <row r="130" spans="1:15" x14ac:dyDescent="0.35">
      <c r="A130" t="s">
        <v>162</v>
      </c>
      <c r="B130" s="1" t="s">
        <v>16</v>
      </c>
      <c r="C130" s="1" t="s">
        <v>17</v>
      </c>
      <c r="D130" s="1" t="s">
        <v>31</v>
      </c>
      <c r="E130" s="2">
        <v>18.809999999999999</v>
      </c>
      <c r="F130" s="3">
        <v>5.99</v>
      </c>
      <c r="G130" s="3">
        <v>27.5</v>
      </c>
      <c r="H130" s="4">
        <v>198.45</v>
      </c>
      <c r="I130" s="3">
        <v>49.78</v>
      </c>
      <c r="J130" t="s">
        <v>37</v>
      </c>
      <c r="K130" s="5">
        <v>3.5195599999999998</v>
      </c>
      <c r="L130" s="6" cm="1">
        <f t="array" ref="L130">_xlfn.PERCENTILE.INC(_xlfn._xlws.FILTER(tabla_base[Rendimiento_por_hectarea_ton], tabla_base[tipo_cultivo]=tabla_base[[#This Row],[tipo_cultivo]]), 0.75)</f>
        <v>5.1742550000000005</v>
      </c>
      <c r="M130" s="7" t="str">
        <f>IF(tabla_base[[#This Row],[Rendimiento_por_hectarea_ton]]&gt;tabla_base[[#This Row],[percentil_0,75]],"Sí","No")</f>
        <v>No</v>
      </c>
      <c r="N130" s="3">
        <v>0.75</v>
      </c>
      <c r="O130" t="s">
        <v>20</v>
      </c>
    </row>
    <row r="131" spans="1:15" x14ac:dyDescent="0.35">
      <c r="A131" t="s">
        <v>163</v>
      </c>
      <c r="B131" s="1" t="s">
        <v>22</v>
      </c>
      <c r="C131" s="1" t="s">
        <v>30</v>
      </c>
      <c r="D131" s="1" t="s">
        <v>31</v>
      </c>
      <c r="E131" s="2">
        <v>31.11</v>
      </c>
      <c r="F131" s="3">
        <v>6.89</v>
      </c>
      <c r="G131" s="3">
        <v>24.58</v>
      </c>
      <c r="H131" s="4">
        <v>94.41</v>
      </c>
      <c r="I131" s="3">
        <v>59.91</v>
      </c>
      <c r="J131" t="s">
        <v>19</v>
      </c>
      <c r="K131" s="5">
        <v>5.2659799999999999</v>
      </c>
      <c r="L131" s="6" cm="1">
        <f t="array" ref="L131">_xlfn.PERCENTILE.INC(_xlfn._xlws.FILTER(tabla_base[Rendimiento_por_hectarea_ton], tabla_base[tipo_cultivo]=tabla_base[[#This Row],[tipo_cultivo]]), 0.75)</f>
        <v>5.1742550000000005</v>
      </c>
      <c r="M131" s="7" t="str">
        <f>IF(tabla_base[[#This Row],[Rendimiento_por_hectarea_ton]]&gt;tabla_base[[#This Row],[percentil_0,75]],"Sí","No")</f>
        <v>Sí</v>
      </c>
      <c r="N131" s="3">
        <v>0.44</v>
      </c>
      <c r="O131" t="s">
        <v>26</v>
      </c>
    </row>
    <row r="132" spans="1:15" x14ac:dyDescent="0.35">
      <c r="A132" t="s">
        <v>164</v>
      </c>
      <c r="B132" s="1" t="s">
        <v>39</v>
      </c>
      <c r="C132" s="1" t="s">
        <v>40</v>
      </c>
      <c r="D132" s="1" t="s">
        <v>18</v>
      </c>
      <c r="E132" s="2">
        <v>43.36</v>
      </c>
      <c r="F132" s="3">
        <v>6.42</v>
      </c>
      <c r="G132" s="3">
        <v>29.17</v>
      </c>
      <c r="H132" s="4">
        <v>159.61000000000001</v>
      </c>
      <c r="I132" s="3">
        <v>54.57</v>
      </c>
      <c r="J132" t="s">
        <v>19</v>
      </c>
      <c r="K132" s="5">
        <v>3.0107300000000001</v>
      </c>
      <c r="L132" s="6" cm="1">
        <f t="array" ref="L132">_xlfn.PERCENTILE.INC(_xlfn._xlws.FILTER(tabla_base[Rendimiento_por_hectarea_ton], tabla_base[tipo_cultivo]=tabla_base[[#This Row],[tipo_cultivo]]), 0.75)</f>
        <v>5.2079399999999998</v>
      </c>
      <c r="M132" s="7" t="str">
        <f>IF(tabla_base[[#This Row],[Rendimiento_por_hectarea_ton]]&gt;tabla_base[[#This Row],[percentil_0,75]],"Sí","No")</f>
        <v>No</v>
      </c>
      <c r="N132" s="3">
        <v>0.64</v>
      </c>
      <c r="O132" t="s">
        <v>44</v>
      </c>
    </row>
    <row r="133" spans="1:15" x14ac:dyDescent="0.35">
      <c r="A133" t="s">
        <v>165</v>
      </c>
      <c r="B133" s="1" t="s">
        <v>39</v>
      </c>
      <c r="C133" s="1" t="s">
        <v>40</v>
      </c>
      <c r="D133" s="1" t="s">
        <v>33</v>
      </c>
      <c r="E133" s="2">
        <v>28.7</v>
      </c>
      <c r="F133" s="3">
        <v>7.35</v>
      </c>
      <c r="G133" s="3">
        <v>32.39</v>
      </c>
      <c r="H133" s="4">
        <v>154.58000000000001</v>
      </c>
      <c r="I133" s="3">
        <v>41.84</v>
      </c>
      <c r="J133" t="s">
        <v>28</v>
      </c>
      <c r="K133" s="5">
        <v>2.6653500000000001</v>
      </c>
      <c r="L133" s="6" cm="1">
        <f t="array" ref="L133">_xlfn.PERCENTILE.INC(_xlfn._xlws.FILTER(tabla_base[Rendimiento_por_hectarea_ton], tabla_base[tipo_cultivo]=tabla_base[[#This Row],[tipo_cultivo]]), 0.75)</f>
        <v>5.1635450000000001</v>
      </c>
      <c r="M133" s="7" t="str">
        <f>IF(tabla_base[[#This Row],[Rendimiento_por_hectarea_ton]]&gt;tabla_base[[#This Row],[percentil_0,75]],"Sí","No")</f>
        <v>No</v>
      </c>
      <c r="N133" s="3">
        <v>0.39</v>
      </c>
      <c r="O133" t="s">
        <v>19</v>
      </c>
    </row>
    <row r="134" spans="1:15" x14ac:dyDescent="0.35">
      <c r="A134" t="s">
        <v>166</v>
      </c>
      <c r="B134" s="1" t="s">
        <v>22</v>
      </c>
      <c r="C134" s="1" t="s">
        <v>30</v>
      </c>
      <c r="D134" s="1" t="s">
        <v>33</v>
      </c>
      <c r="E134" s="2">
        <v>13.71</v>
      </c>
      <c r="F134" s="3">
        <v>5.7</v>
      </c>
      <c r="G134" s="3">
        <v>19.440000000000001</v>
      </c>
      <c r="H134" s="4">
        <v>236.71</v>
      </c>
      <c r="I134" s="3">
        <v>67.900000000000006</v>
      </c>
      <c r="J134" t="s">
        <v>25</v>
      </c>
      <c r="K134" s="5">
        <v>4.3543599999999998</v>
      </c>
      <c r="L134" s="6" cm="1">
        <f t="array" ref="L134">_xlfn.PERCENTILE.INC(_xlfn._xlws.FILTER(tabla_base[Rendimiento_por_hectarea_ton], tabla_base[tipo_cultivo]=tabla_base[[#This Row],[tipo_cultivo]]), 0.75)</f>
        <v>5.1635450000000001</v>
      </c>
      <c r="M134" s="7" t="str">
        <f>IF(tabla_base[[#This Row],[Rendimiento_por_hectarea_ton]]&gt;tabla_base[[#This Row],[percentil_0,75]],"Sí","No")</f>
        <v>No</v>
      </c>
      <c r="N134" s="3">
        <v>0.34</v>
      </c>
      <c r="O134" t="s">
        <v>20</v>
      </c>
    </row>
    <row r="135" spans="1:15" x14ac:dyDescent="0.35">
      <c r="A135" t="s">
        <v>167</v>
      </c>
      <c r="B135" s="1" t="s">
        <v>22</v>
      </c>
      <c r="C135" s="1" t="s">
        <v>23</v>
      </c>
      <c r="D135" s="1" t="s">
        <v>18</v>
      </c>
      <c r="E135" s="2">
        <v>14.06</v>
      </c>
      <c r="F135" s="3">
        <v>7.38</v>
      </c>
      <c r="G135" s="3">
        <v>17.829999999999998</v>
      </c>
      <c r="H135" s="4">
        <v>127.97</v>
      </c>
      <c r="I135" s="3">
        <v>62.77</v>
      </c>
      <c r="J135" t="s">
        <v>19</v>
      </c>
      <c r="K135" s="5">
        <v>3.80979</v>
      </c>
      <c r="L135" s="6" cm="1">
        <f t="array" ref="L135">_xlfn.PERCENTILE.INC(_xlfn._xlws.FILTER(tabla_base[Rendimiento_por_hectarea_ton], tabla_base[tipo_cultivo]=tabla_base[[#This Row],[tipo_cultivo]]), 0.75)</f>
        <v>5.2079399999999998</v>
      </c>
      <c r="M135" s="7" t="str">
        <f>IF(tabla_base[[#This Row],[Rendimiento_por_hectarea_ton]]&gt;tabla_base[[#This Row],[percentil_0,75]],"Sí","No")</f>
        <v>No</v>
      </c>
      <c r="N135" s="3">
        <v>0.59</v>
      </c>
      <c r="O135" t="s">
        <v>26</v>
      </c>
    </row>
    <row r="136" spans="1:15" x14ac:dyDescent="0.35">
      <c r="A136" t="s">
        <v>168</v>
      </c>
      <c r="B136" s="1" t="s">
        <v>16</v>
      </c>
      <c r="C136" s="1" t="s">
        <v>17</v>
      </c>
      <c r="D136" s="1" t="s">
        <v>35</v>
      </c>
      <c r="E136" s="2">
        <v>42.55</v>
      </c>
      <c r="F136" s="3">
        <v>6.98</v>
      </c>
      <c r="G136" s="3">
        <v>25.32</v>
      </c>
      <c r="H136" s="4">
        <v>187.98</v>
      </c>
      <c r="I136" s="3">
        <v>56.55</v>
      </c>
      <c r="J136" t="s">
        <v>19</v>
      </c>
      <c r="K136" s="5">
        <v>4.5619199999999998</v>
      </c>
      <c r="L136" s="6" cm="1">
        <f t="array" ref="L136">_xlfn.PERCENTILE.INC(_xlfn._xlws.FILTER(tabla_base[Rendimiento_por_hectarea_ton], tabla_base[tipo_cultivo]=tabla_base[[#This Row],[tipo_cultivo]]), 0.75)</f>
        <v>5.1318025</v>
      </c>
      <c r="M136" s="7" t="str">
        <f>IF(tabla_base[[#This Row],[Rendimiento_por_hectarea_ton]]&gt;tabla_base[[#This Row],[percentil_0,75]],"Sí","No")</f>
        <v>No</v>
      </c>
      <c r="N136" s="3">
        <v>0.35</v>
      </c>
      <c r="O136" t="s">
        <v>20</v>
      </c>
    </row>
    <row r="137" spans="1:15" x14ac:dyDescent="0.35">
      <c r="A137" t="s">
        <v>169</v>
      </c>
      <c r="B137" s="1" t="s">
        <v>39</v>
      </c>
      <c r="C137" s="1" t="s">
        <v>40</v>
      </c>
      <c r="D137" s="1" t="s">
        <v>33</v>
      </c>
      <c r="E137" s="2">
        <v>23.61</v>
      </c>
      <c r="F137" s="3">
        <v>6.91</v>
      </c>
      <c r="G137" s="3">
        <v>19.12</v>
      </c>
      <c r="H137" s="4">
        <v>238.08</v>
      </c>
      <c r="I137" s="3">
        <v>80.44</v>
      </c>
      <c r="J137" t="s">
        <v>28</v>
      </c>
      <c r="K137" s="5">
        <v>2.4558200000000001</v>
      </c>
      <c r="L137" s="6" cm="1">
        <f t="array" ref="L137">_xlfn.PERCENTILE.INC(_xlfn._xlws.FILTER(tabla_base[Rendimiento_por_hectarea_ton], tabla_base[tipo_cultivo]=tabla_base[[#This Row],[tipo_cultivo]]), 0.75)</f>
        <v>5.1635450000000001</v>
      </c>
      <c r="M137" s="7" t="str">
        <f>IF(tabla_base[[#This Row],[Rendimiento_por_hectarea_ton]]&gt;tabla_base[[#This Row],[percentil_0,75]],"Sí","No")</f>
        <v>No</v>
      </c>
      <c r="N137" s="3">
        <v>0.88</v>
      </c>
      <c r="O137" t="s">
        <v>26</v>
      </c>
    </row>
    <row r="138" spans="1:15" x14ac:dyDescent="0.35">
      <c r="A138" t="s">
        <v>170</v>
      </c>
      <c r="B138" s="1" t="s">
        <v>39</v>
      </c>
      <c r="C138" s="1" t="s">
        <v>40</v>
      </c>
      <c r="D138" s="1" t="s">
        <v>33</v>
      </c>
      <c r="E138" s="2">
        <v>30.55</v>
      </c>
      <c r="F138" s="3">
        <v>6.2</v>
      </c>
      <c r="G138" s="3">
        <v>31.91</v>
      </c>
      <c r="H138" s="4">
        <v>204.34</v>
      </c>
      <c r="I138" s="3">
        <v>80.69</v>
      </c>
      <c r="J138" t="s">
        <v>37</v>
      </c>
      <c r="K138" s="5">
        <v>2.4714499999999999</v>
      </c>
      <c r="L138" s="6" cm="1">
        <f t="array" ref="L138">_xlfn.PERCENTILE.INC(_xlfn._xlws.FILTER(tabla_base[Rendimiento_por_hectarea_ton], tabla_base[tipo_cultivo]=tabla_base[[#This Row],[tipo_cultivo]]), 0.75)</f>
        <v>5.1635450000000001</v>
      </c>
      <c r="M138" s="7" t="str">
        <f>IF(tabla_base[[#This Row],[Rendimiento_por_hectarea_ton]]&gt;tabla_base[[#This Row],[percentil_0,75]],"Sí","No")</f>
        <v>No</v>
      </c>
      <c r="N138" s="3">
        <v>0.75</v>
      </c>
      <c r="O138" t="s">
        <v>19</v>
      </c>
    </row>
    <row r="139" spans="1:15" x14ac:dyDescent="0.35">
      <c r="A139" t="s">
        <v>171</v>
      </c>
      <c r="B139" s="1" t="s">
        <v>22</v>
      </c>
      <c r="C139" s="1" t="s">
        <v>23</v>
      </c>
      <c r="D139" s="1" t="s">
        <v>24</v>
      </c>
      <c r="E139" s="2">
        <v>14.83</v>
      </c>
      <c r="F139" s="3">
        <v>6.27</v>
      </c>
      <c r="G139" s="3">
        <v>18.72</v>
      </c>
      <c r="H139" s="4">
        <v>208.88</v>
      </c>
      <c r="I139" s="3">
        <v>74.67</v>
      </c>
      <c r="J139" t="s">
        <v>25</v>
      </c>
      <c r="K139" s="5">
        <v>3.2583200000000003</v>
      </c>
      <c r="L139" s="6" cm="1">
        <f t="array" ref="L139">_xlfn.PERCENTILE.INC(_xlfn._xlws.FILTER(tabla_base[Rendimiento_por_hectarea_ton], tabla_base[tipo_cultivo]=tabla_base[[#This Row],[tipo_cultivo]]), 0.75)</f>
        <v>5.3984449999999997</v>
      </c>
      <c r="M139" s="7" t="str">
        <f>IF(tabla_base[[#This Row],[Rendimiento_por_hectarea_ton]]&gt;tabla_base[[#This Row],[percentil_0,75]],"Sí","No")</f>
        <v>No</v>
      </c>
      <c r="N139" s="3">
        <v>0.67</v>
      </c>
      <c r="O139" t="s">
        <v>44</v>
      </c>
    </row>
    <row r="140" spans="1:15" x14ac:dyDescent="0.35">
      <c r="A140" t="s">
        <v>172</v>
      </c>
      <c r="B140" s="1" t="s">
        <v>16</v>
      </c>
      <c r="C140" s="1" t="s">
        <v>23</v>
      </c>
      <c r="D140" s="1" t="s">
        <v>35</v>
      </c>
      <c r="E140" s="2">
        <v>38.53</v>
      </c>
      <c r="F140" s="3">
        <v>7.43</v>
      </c>
      <c r="G140" s="3">
        <v>25.11</v>
      </c>
      <c r="H140" s="4">
        <v>173.74</v>
      </c>
      <c r="I140" s="3">
        <v>74.23</v>
      </c>
      <c r="J140" t="s">
        <v>19</v>
      </c>
      <c r="K140" s="5">
        <v>5.0442299999999998</v>
      </c>
      <c r="L140" s="6" cm="1">
        <f t="array" ref="L140">_xlfn.PERCENTILE.INC(_xlfn._xlws.FILTER(tabla_base[Rendimiento_por_hectarea_ton], tabla_base[tipo_cultivo]=tabla_base[[#This Row],[tipo_cultivo]]), 0.75)</f>
        <v>5.1318025</v>
      </c>
      <c r="M140" s="7" t="str">
        <f>IF(tabla_base[[#This Row],[Rendimiento_por_hectarea_ton]]&gt;tabla_base[[#This Row],[percentil_0,75]],"Sí","No")</f>
        <v>No</v>
      </c>
      <c r="N140" s="3">
        <v>0.67</v>
      </c>
      <c r="O140" t="s">
        <v>44</v>
      </c>
    </row>
    <row r="141" spans="1:15" x14ac:dyDescent="0.35">
      <c r="A141" t="s">
        <v>173</v>
      </c>
      <c r="B141" s="1" t="s">
        <v>39</v>
      </c>
      <c r="C141" s="1" t="s">
        <v>40</v>
      </c>
      <c r="D141" s="1" t="s">
        <v>33</v>
      </c>
      <c r="E141" s="2">
        <v>29.24</v>
      </c>
      <c r="F141" s="3">
        <v>5.73</v>
      </c>
      <c r="G141" s="3">
        <v>17.28</v>
      </c>
      <c r="H141" s="4">
        <v>243.78</v>
      </c>
      <c r="I141" s="3">
        <v>81.16</v>
      </c>
      <c r="J141" t="s">
        <v>28</v>
      </c>
      <c r="K141" s="5">
        <v>4.9439500000000001</v>
      </c>
      <c r="L141" s="6" cm="1">
        <f t="array" ref="L141">_xlfn.PERCENTILE.INC(_xlfn._xlws.FILTER(tabla_base[Rendimiento_por_hectarea_ton], tabla_base[tipo_cultivo]=tabla_base[[#This Row],[tipo_cultivo]]), 0.75)</f>
        <v>5.1635450000000001</v>
      </c>
      <c r="M141" s="7" t="str">
        <f>IF(tabla_base[[#This Row],[Rendimiento_por_hectarea_ton]]&gt;tabla_base[[#This Row],[percentil_0,75]],"Sí","No")</f>
        <v>No</v>
      </c>
      <c r="N141" s="3">
        <v>0.88</v>
      </c>
      <c r="O141" t="s">
        <v>26</v>
      </c>
    </row>
    <row r="142" spans="1:15" x14ac:dyDescent="0.35">
      <c r="A142" t="s">
        <v>174</v>
      </c>
      <c r="B142" s="1" t="s">
        <v>22</v>
      </c>
      <c r="C142" s="1" t="s">
        <v>30</v>
      </c>
      <c r="D142" s="1" t="s">
        <v>31</v>
      </c>
      <c r="E142" s="2">
        <v>40.18</v>
      </c>
      <c r="F142" s="3">
        <v>5.67</v>
      </c>
      <c r="G142" s="3">
        <v>32.31</v>
      </c>
      <c r="H142" s="4">
        <v>79.349999999999994</v>
      </c>
      <c r="I142" s="3">
        <v>80.59</v>
      </c>
      <c r="J142" t="s">
        <v>37</v>
      </c>
      <c r="K142" s="5">
        <v>2.55694</v>
      </c>
      <c r="L142" s="6" cm="1">
        <f t="array" ref="L142">_xlfn.PERCENTILE.INC(_xlfn._xlws.FILTER(tabla_base[Rendimiento_por_hectarea_ton], tabla_base[tipo_cultivo]=tabla_base[[#This Row],[tipo_cultivo]]), 0.75)</f>
        <v>5.1742550000000005</v>
      </c>
      <c r="M142" s="7" t="str">
        <f>IF(tabla_base[[#This Row],[Rendimiento_por_hectarea_ton]]&gt;tabla_base[[#This Row],[percentil_0,75]],"Sí","No")</f>
        <v>No</v>
      </c>
      <c r="N142" s="3">
        <v>0.52</v>
      </c>
      <c r="O142" t="s">
        <v>26</v>
      </c>
    </row>
    <row r="143" spans="1:15" x14ac:dyDescent="0.35">
      <c r="A143" t="s">
        <v>175</v>
      </c>
      <c r="B143" s="1" t="s">
        <v>39</v>
      </c>
      <c r="C143" s="1" t="s">
        <v>40</v>
      </c>
      <c r="D143" s="1" t="s">
        <v>24</v>
      </c>
      <c r="E143" s="2">
        <v>15.89</v>
      </c>
      <c r="F143" s="3">
        <v>7.46</v>
      </c>
      <c r="G143" s="3">
        <v>20.85</v>
      </c>
      <c r="H143" s="4">
        <v>193.18</v>
      </c>
      <c r="I143" s="3">
        <v>87.62</v>
      </c>
      <c r="J143" t="s">
        <v>28</v>
      </c>
      <c r="K143" s="5">
        <v>5.4681899999999999</v>
      </c>
      <c r="L143" s="6" cm="1">
        <f t="array" ref="L143">_xlfn.PERCENTILE.INC(_xlfn._xlws.FILTER(tabla_base[Rendimiento_por_hectarea_ton], tabla_base[tipo_cultivo]=tabla_base[[#This Row],[tipo_cultivo]]), 0.75)</f>
        <v>5.3984449999999997</v>
      </c>
      <c r="M143" s="7" t="str">
        <f>IF(tabla_base[[#This Row],[Rendimiento_por_hectarea_ton]]&gt;tabla_base[[#This Row],[percentil_0,75]],"Sí","No")</f>
        <v>Sí</v>
      </c>
      <c r="N143" s="3">
        <v>0.37</v>
      </c>
      <c r="O143" t="s">
        <v>44</v>
      </c>
    </row>
    <row r="144" spans="1:15" x14ac:dyDescent="0.35">
      <c r="A144" t="s">
        <v>176</v>
      </c>
      <c r="B144" s="1" t="s">
        <v>16</v>
      </c>
      <c r="C144" s="1" t="s">
        <v>23</v>
      </c>
      <c r="D144" s="1" t="s">
        <v>33</v>
      </c>
      <c r="E144" s="2">
        <v>27.13</v>
      </c>
      <c r="F144" s="3">
        <v>6.65</v>
      </c>
      <c r="G144" s="3">
        <v>20.37</v>
      </c>
      <c r="H144" s="4">
        <v>153.56</v>
      </c>
      <c r="I144" s="3">
        <v>62.6</v>
      </c>
      <c r="J144" t="s">
        <v>28</v>
      </c>
      <c r="K144" s="5">
        <v>5.5092700000000008</v>
      </c>
      <c r="L144" s="6" cm="1">
        <f t="array" ref="L144">_xlfn.PERCENTILE.INC(_xlfn._xlws.FILTER(tabla_base[Rendimiento_por_hectarea_ton], tabla_base[tipo_cultivo]=tabla_base[[#This Row],[tipo_cultivo]]), 0.75)</f>
        <v>5.1635450000000001</v>
      </c>
      <c r="M144" s="7" t="str">
        <f>IF(tabla_base[[#This Row],[Rendimiento_por_hectarea_ton]]&gt;tabla_base[[#This Row],[percentil_0,75]],"Sí","No")</f>
        <v>Sí</v>
      </c>
      <c r="N144" s="3">
        <v>0.41</v>
      </c>
      <c r="O144" t="s">
        <v>44</v>
      </c>
    </row>
    <row r="145" spans="1:15" x14ac:dyDescent="0.35">
      <c r="A145" t="s">
        <v>177</v>
      </c>
      <c r="B145" s="1" t="s">
        <v>22</v>
      </c>
      <c r="C145" s="1" t="s">
        <v>23</v>
      </c>
      <c r="D145" s="1" t="s">
        <v>31</v>
      </c>
      <c r="E145" s="2">
        <v>39.75</v>
      </c>
      <c r="F145" s="3">
        <v>7.09</v>
      </c>
      <c r="G145" s="3">
        <v>22.95</v>
      </c>
      <c r="H145" s="4">
        <v>292.02999999999997</v>
      </c>
      <c r="I145" s="3">
        <v>81.239999999999995</v>
      </c>
      <c r="J145" t="s">
        <v>37</v>
      </c>
      <c r="K145" s="5">
        <v>5.4096899999999994</v>
      </c>
      <c r="L145" s="6" cm="1">
        <f t="array" ref="L145">_xlfn.PERCENTILE.INC(_xlfn._xlws.FILTER(tabla_base[Rendimiento_por_hectarea_ton], tabla_base[tipo_cultivo]=tabla_base[[#This Row],[tipo_cultivo]]), 0.75)</f>
        <v>5.1742550000000005</v>
      </c>
      <c r="M145" s="7" t="str">
        <f>IF(tabla_base[[#This Row],[Rendimiento_por_hectarea_ton]]&gt;tabla_base[[#This Row],[percentil_0,75]],"Sí","No")</f>
        <v>Sí</v>
      </c>
      <c r="N145" s="3">
        <v>0.37</v>
      </c>
      <c r="O145" t="s">
        <v>20</v>
      </c>
    </row>
    <row r="146" spans="1:15" x14ac:dyDescent="0.35">
      <c r="A146" t="s">
        <v>178</v>
      </c>
      <c r="B146" s="1" t="s">
        <v>22</v>
      </c>
      <c r="C146" s="1" t="s">
        <v>23</v>
      </c>
      <c r="D146" s="1" t="s">
        <v>18</v>
      </c>
      <c r="E146" s="2">
        <v>14.35</v>
      </c>
      <c r="F146" s="3">
        <v>7.22</v>
      </c>
      <c r="G146" s="3">
        <v>23.83</v>
      </c>
      <c r="H146" s="4">
        <v>50.17</v>
      </c>
      <c r="I146" s="3">
        <v>87.9</v>
      </c>
      <c r="J146" t="s">
        <v>25</v>
      </c>
      <c r="K146" s="5">
        <v>3.4417399999999998</v>
      </c>
      <c r="L146" s="6" cm="1">
        <f t="array" ref="L146">_xlfn.PERCENTILE.INC(_xlfn._xlws.FILTER(tabla_base[Rendimiento_por_hectarea_ton], tabla_base[tipo_cultivo]=tabla_base[[#This Row],[tipo_cultivo]]), 0.75)</f>
        <v>5.2079399999999998</v>
      </c>
      <c r="M146" s="7" t="str">
        <f>IF(tabla_base[[#This Row],[Rendimiento_por_hectarea_ton]]&gt;tabla_base[[#This Row],[percentil_0,75]],"Sí","No")</f>
        <v>No</v>
      </c>
      <c r="N146" s="3">
        <v>0.55000000000000004</v>
      </c>
      <c r="O146" t="s">
        <v>20</v>
      </c>
    </row>
    <row r="147" spans="1:15" x14ac:dyDescent="0.35">
      <c r="A147" t="s">
        <v>179</v>
      </c>
      <c r="B147" s="1" t="s">
        <v>22</v>
      </c>
      <c r="C147" s="1" t="s">
        <v>30</v>
      </c>
      <c r="D147" s="1" t="s">
        <v>35</v>
      </c>
      <c r="E147" s="2">
        <v>25.02</v>
      </c>
      <c r="F147" s="3">
        <v>5.68</v>
      </c>
      <c r="G147" s="3">
        <v>16.899999999999999</v>
      </c>
      <c r="H147" s="4">
        <v>103.36</v>
      </c>
      <c r="I147" s="3">
        <v>43.9</v>
      </c>
      <c r="J147" t="s">
        <v>19</v>
      </c>
      <c r="K147" s="5">
        <v>5.9526199999999996</v>
      </c>
      <c r="L147" s="6" cm="1">
        <f t="array" ref="L147">_xlfn.PERCENTILE.INC(_xlfn._xlws.FILTER(tabla_base[Rendimiento_por_hectarea_ton], tabla_base[tipo_cultivo]=tabla_base[[#This Row],[tipo_cultivo]]), 0.75)</f>
        <v>5.1318025</v>
      </c>
      <c r="M147" s="7" t="str">
        <f>IF(tabla_base[[#This Row],[Rendimiento_por_hectarea_ton]]&gt;tabla_base[[#This Row],[percentil_0,75]],"Sí","No")</f>
        <v>Sí</v>
      </c>
      <c r="N147" s="3">
        <v>0.61</v>
      </c>
      <c r="O147" t="s">
        <v>19</v>
      </c>
    </row>
    <row r="148" spans="1:15" x14ac:dyDescent="0.35">
      <c r="A148" t="s">
        <v>180</v>
      </c>
      <c r="B148" s="1" t="s">
        <v>16</v>
      </c>
      <c r="C148" s="1" t="s">
        <v>17</v>
      </c>
      <c r="D148" s="1" t="s">
        <v>18</v>
      </c>
      <c r="E148" s="2">
        <v>20.97</v>
      </c>
      <c r="F148" s="3">
        <v>7.26</v>
      </c>
      <c r="G148" s="3">
        <v>17.739999999999998</v>
      </c>
      <c r="H148" s="4">
        <v>243.37</v>
      </c>
      <c r="I148" s="3">
        <v>77.66</v>
      </c>
      <c r="J148" t="s">
        <v>25</v>
      </c>
      <c r="K148" s="5">
        <v>2.6564699999999997</v>
      </c>
      <c r="L148" s="6" cm="1">
        <f t="array" ref="L148">_xlfn.PERCENTILE.INC(_xlfn._xlws.FILTER(tabla_base[Rendimiento_por_hectarea_ton], tabla_base[tipo_cultivo]=tabla_base[[#This Row],[tipo_cultivo]]), 0.75)</f>
        <v>5.2079399999999998</v>
      </c>
      <c r="M148" s="7" t="str">
        <f>IF(tabla_base[[#This Row],[Rendimiento_por_hectarea_ton]]&gt;tabla_base[[#This Row],[percentil_0,75]],"Sí","No")</f>
        <v>No</v>
      </c>
      <c r="N148" s="3">
        <v>0.52</v>
      </c>
      <c r="O148" t="s">
        <v>19</v>
      </c>
    </row>
    <row r="149" spans="1:15" x14ac:dyDescent="0.35">
      <c r="A149" t="s">
        <v>181</v>
      </c>
      <c r="B149" s="1" t="s">
        <v>39</v>
      </c>
      <c r="C149" s="1" t="s">
        <v>40</v>
      </c>
      <c r="D149" s="1" t="s">
        <v>33</v>
      </c>
      <c r="E149" s="2">
        <v>40.1</v>
      </c>
      <c r="F149" s="3">
        <v>5.67</v>
      </c>
      <c r="G149" s="3">
        <v>17.010000000000002</v>
      </c>
      <c r="H149" s="4">
        <v>238.11</v>
      </c>
      <c r="I149" s="3">
        <v>69.48</v>
      </c>
      <c r="J149" t="s">
        <v>19</v>
      </c>
      <c r="K149" s="5">
        <v>2.3369899999999997</v>
      </c>
      <c r="L149" s="6" cm="1">
        <f t="array" ref="L149">_xlfn.PERCENTILE.INC(_xlfn._xlws.FILTER(tabla_base[Rendimiento_por_hectarea_ton], tabla_base[tipo_cultivo]=tabla_base[[#This Row],[tipo_cultivo]]), 0.75)</f>
        <v>5.1635450000000001</v>
      </c>
      <c r="M149" s="7" t="str">
        <f>IF(tabla_base[[#This Row],[Rendimiento_por_hectarea_ton]]&gt;tabla_base[[#This Row],[percentil_0,75]],"Sí","No")</f>
        <v>No</v>
      </c>
      <c r="N149" s="3">
        <v>0.8</v>
      </c>
      <c r="O149" t="s">
        <v>44</v>
      </c>
    </row>
    <row r="150" spans="1:15" x14ac:dyDescent="0.35">
      <c r="A150" t="s">
        <v>182</v>
      </c>
      <c r="B150" s="1" t="s">
        <v>16</v>
      </c>
      <c r="C150" s="1" t="s">
        <v>23</v>
      </c>
      <c r="D150" s="1" t="s">
        <v>24</v>
      </c>
      <c r="E150" s="2">
        <v>31.24</v>
      </c>
      <c r="F150" s="3">
        <v>5.88</v>
      </c>
      <c r="G150" s="3">
        <v>22.84</v>
      </c>
      <c r="H150" s="4">
        <v>211.54</v>
      </c>
      <c r="I150" s="3">
        <v>79.19</v>
      </c>
      <c r="J150" t="s">
        <v>25</v>
      </c>
      <c r="K150" s="5">
        <v>4.3757200000000003</v>
      </c>
      <c r="L150" s="6" cm="1">
        <f t="array" ref="L150">_xlfn.PERCENTILE.INC(_xlfn._xlws.FILTER(tabla_base[Rendimiento_por_hectarea_ton], tabla_base[tipo_cultivo]=tabla_base[[#This Row],[tipo_cultivo]]), 0.75)</f>
        <v>5.3984449999999997</v>
      </c>
      <c r="M150" s="7" t="str">
        <f>IF(tabla_base[[#This Row],[Rendimiento_por_hectarea_ton]]&gt;tabla_base[[#This Row],[percentil_0,75]],"Sí","No")</f>
        <v>No</v>
      </c>
      <c r="N150" s="3">
        <v>0.57999999999999996</v>
      </c>
      <c r="O150" t="s">
        <v>44</v>
      </c>
    </row>
    <row r="151" spans="1:15" x14ac:dyDescent="0.35">
      <c r="A151" t="s">
        <v>183</v>
      </c>
      <c r="B151" s="1" t="s">
        <v>22</v>
      </c>
      <c r="C151" s="1" t="s">
        <v>30</v>
      </c>
      <c r="D151" s="1" t="s">
        <v>24</v>
      </c>
      <c r="E151" s="2">
        <v>33.9</v>
      </c>
      <c r="F151" s="3">
        <v>7.03</v>
      </c>
      <c r="G151" s="3">
        <v>34.090000000000003</v>
      </c>
      <c r="H151" s="4">
        <v>242.59</v>
      </c>
      <c r="I151" s="3">
        <v>40.83</v>
      </c>
      <c r="J151" t="s">
        <v>37</v>
      </c>
      <c r="K151" s="5">
        <v>4.02644</v>
      </c>
      <c r="L151" s="6" cm="1">
        <f t="array" ref="L151">_xlfn.PERCENTILE.INC(_xlfn._xlws.FILTER(tabla_base[Rendimiento_por_hectarea_ton], tabla_base[tipo_cultivo]=tabla_base[[#This Row],[tipo_cultivo]]), 0.75)</f>
        <v>5.3984449999999997</v>
      </c>
      <c r="M151" s="7" t="str">
        <f>IF(tabla_base[[#This Row],[Rendimiento_por_hectarea_ton]]&gt;tabla_base[[#This Row],[percentil_0,75]],"Sí","No")</f>
        <v>No</v>
      </c>
      <c r="N151" s="3">
        <v>0.75</v>
      </c>
      <c r="O151" t="s">
        <v>19</v>
      </c>
    </row>
    <row r="152" spans="1:15" x14ac:dyDescent="0.35">
      <c r="A152" t="s">
        <v>184</v>
      </c>
      <c r="B152" s="1" t="s">
        <v>16</v>
      </c>
      <c r="C152" s="1" t="s">
        <v>17</v>
      </c>
      <c r="D152" s="1" t="s">
        <v>24</v>
      </c>
      <c r="E152" s="2">
        <v>28.82</v>
      </c>
      <c r="F152" s="3">
        <v>5.81</v>
      </c>
      <c r="G152" s="3">
        <v>16.670000000000002</v>
      </c>
      <c r="H152" s="4">
        <v>69.760000000000005</v>
      </c>
      <c r="I152" s="3">
        <v>86.05</v>
      </c>
      <c r="J152" t="s">
        <v>25</v>
      </c>
      <c r="K152" s="5">
        <v>5.3381099999999995</v>
      </c>
      <c r="L152" s="6" cm="1">
        <f t="array" ref="L152">_xlfn.PERCENTILE.INC(_xlfn._xlws.FILTER(tabla_base[Rendimiento_por_hectarea_ton], tabla_base[tipo_cultivo]=tabla_base[[#This Row],[tipo_cultivo]]), 0.75)</f>
        <v>5.3984449999999997</v>
      </c>
      <c r="M152" s="7" t="str">
        <f>IF(tabla_base[[#This Row],[Rendimiento_por_hectarea_ton]]&gt;tabla_base[[#This Row],[percentil_0,75]],"Sí","No")</f>
        <v>No</v>
      </c>
      <c r="N152" s="3">
        <v>0.85</v>
      </c>
      <c r="O152" t="s">
        <v>26</v>
      </c>
    </row>
    <row r="153" spans="1:15" x14ac:dyDescent="0.35">
      <c r="A153" t="s">
        <v>185</v>
      </c>
      <c r="B153" s="1" t="s">
        <v>16</v>
      </c>
      <c r="C153" s="1" t="s">
        <v>17</v>
      </c>
      <c r="D153" s="1" t="s">
        <v>35</v>
      </c>
      <c r="E153" s="2">
        <v>13.02</v>
      </c>
      <c r="F153" s="3">
        <v>6.37</v>
      </c>
      <c r="G153" s="3">
        <v>24.07</v>
      </c>
      <c r="H153" s="4">
        <v>202.21</v>
      </c>
      <c r="I153" s="3">
        <v>55.46</v>
      </c>
      <c r="J153" t="s">
        <v>25</v>
      </c>
      <c r="K153" s="5">
        <v>2.6553299999999997</v>
      </c>
      <c r="L153" s="6" cm="1">
        <f t="array" ref="L153">_xlfn.PERCENTILE.INC(_xlfn._xlws.FILTER(tabla_base[Rendimiento_por_hectarea_ton], tabla_base[tipo_cultivo]=tabla_base[[#This Row],[tipo_cultivo]]), 0.75)</f>
        <v>5.1318025</v>
      </c>
      <c r="M153" s="7" t="str">
        <f>IF(tabla_base[[#This Row],[Rendimiento_por_hectarea_ton]]&gt;tabla_base[[#This Row],[percentil_0,75]],"Sí","No")</f>
        <v>No</v>
      </c>
      <c r="N153" s="3">
        <v>0.41</v>
      </c>
      <c r="O153" t="s">
        <v>26</v>
      </c>
    </row>
    <row r="154" spans="1:15" x14ac:dyDescent="0.35">
      <c r="A154" t="s">
        <v>186</v>
      </c>
      <c r="B154" s="1" t="s">
        <v>22</v>
      </c>
      <c r="C154" s="1" t="s">
        <v>30</v>
      </c>
      <c r="D154" s="1" t="s">
        <v>35</v>
      </c>
      <c r="E154" s="2">
        <v>36.24</v>
      </c>
      <c r="F154" s="3">
        <v>7.25</v>
      </c>
      <c r="G154" s="3">
        <v>29.66</v>
      </c>
      <c r="H154" s="4">
        <v>79.510000000000005</v>
      </c>
      <c r="I154" s="3">
        <v>84.99</v>
      </c>
      <c r="J154" t="s">
        <v>19</v>
      </c>
      <c r="K154" s="5">
        <v>4.5101300000000002</v>
      </c>
      <c r="L154" s="6" cm="1">
        <f t="array" ref="L154">_xlfn.PERCENTILE.INC(_xlfn._xlws.FILTER(tabla_base[Rendimiento_por_hectarea_ton], tabla_base[tipo_cultivo]=tabla_base[[#This Row],[tipo_cultivo]]), 0.75)</f>
        <v>5.1318025</v>
      </c>
      <c r="M154" s="7" t="str">
        <f>IF(tabla_base[[#This Row],[Rendimiento_por_hectarea_ton]]&gt;tabla_base[[#This Row],[percentil_0,75]],"Sí","No")</f>
        <v>No</v>
      </c>
      <c r="N154" s="3">
        <v>0.44</v>
      </c>
      <c r="O154" t="s">
        <v>19</v>
      </c>
    </row>
    <row r="155" spans="1:15" x14ac:dyDescent="0.35">
      <c r="A155" t="s">
        <v>187</v>
      </c>
      <c r="B155" s="1" t="s">
        <v>22</v>
      </c>
      <c r="C155" s="1" t="s">
        <v>30</v>
      </c>
      <c r="D155" s="1" t="s">
        <v>35</v>
      </c>
      <c r="E155" s="2">
        <v>18.93</v>
      </c>
      <c r="F155" s="3">
        <v>5.71</v>
      </c>
      <c r="G155" s="3">
        <v>26.48</v>
      </c>
      <c r="H155" s="4">
        <v>230.69</v>
      </c>
      <c r="I155" s="3">
        <v>51.42</v>
      </c>
      <c r="J155" t="s">
        <v>28</v>
      </c>
      <c r="K155" s="5">
        <v>5.6809099999999999</v>
      </c>
      <c r="L155" s="6" cm="1">
        <f t="array" ref="L155">_xlfn.PERCENTILE.INC(_xlfn._xlws.FILTER(tabla_base[Rendimiento_por_hectarea_ton], tabla_base[tipo_cultivo]=tabla_base[[#This Row],[tipo_cultivo]]), 0.75)</f>
        <v>5.1318025</v>
      </c>
      <c r="M155" s="7" t="str">
        <f>IF(tabla_base[[#This Row],[Rendimiento_por_hectarea_ton]]&gt;tabla_base[[#This Row],[percentil_0,75]],"Sí","No")</f>
        <v>Sí</v>
      </c>
      <c r="N155" s="3">
        <v>0.65</v>
      </c>
      <c r="O155" t="s">
        <v>44</v>
      </c>
    </row>
    <row r="156" spans="1:15" x14ac:dyDescent="0.35">
      <c r="A156" t="s">
        <v>188</v>
      </c>
      <c r="B156" s="1" t="s">
        <v>16</v>
      </c>
      <c r="C156" s="1" t="s">
        <v>23</v>
      </c>
      <c r="D156" s="1" t="s">
        <v>31</v>
      </c>
      <c r="E156" s="2">
        <v>18.690000000000001</v>
      </c>
      <c r="F156" s="3">
        <v>7.33</v>
      </c>
      <c r="G156" s="3">
        <v>21.4</v>
      </c>
      <c r="H156" s="4">
        <v>256.5</v>
      </c>
      <c r="I156" s="3">
        <v>68.58</v>
      </c>
      <c r="J156" t="s">
        <v>28</v>
      </c>
      <c r="K156" s="5">
        <v>2.2757100000000001</v>
      </c>
      <c r="L156" s="6" cm="1">
        <f t="array" ref="L156">_xlfn.PERCENTILE.INC(_xlfn._xlws.FILTER(tabla_base[Rendimiento_por_hectarea_ton], tabla_base[tipo_cultivo]=tabla_base[[#This Row],[tipo_cultivo]]), 0.75)</f>
        <v>5.1742550000000005</v>
      </c>
      <c r="M156" s="7" t="str">
        <f>IF(tabla_base[[#This Row],[Rendimiento_por_hectarea_ton]]&gt;tabla_base[[#This Row],[percentil_0,75]],"Sí","No")</f>
        <v>No</v>
      </c>
      <c r="N156" s="3">
        <v>0.75</v>
      </c>
      <c r="O156" t="s">
        <v>44</v>
      </c>
    </row>
    <row r="157" spans="1:15" x14ac:dyDescent="0.35">
      <c r="A157" t="s">
        <v>189</v>
      </c>
      <c r="B157" s="1" t="s">
        <v>39</v>
      </c>
      <c r="C157" s="1" t="s">
        <v>40</v>
      </c>
      <c r="D157" s="1" t="s">
        <v>33</v>
      </c>
      <c r="E157" s="2">
        <v>10.28</v>
      </c>
      <c r="F157" s="3">
        <v>5.9</v>
      </c>
      <c r="G157" s="3">
        <v>26.28</v>
      </c>
      <c r="H157" s="4">
        <v>125.98</v>
      </c>
      <c r="I157" s="3">
        <v>71.14</v>
      </c>
      <c r="J157" t="s">
        <v>19</v>
      </c>
      <c r="K157" s="5">
        <v>2.9805100000000002</v>
      </c>
      <c r="L157" s="6" cm="1">
        <f t="array" ref="L157">_xlfn.PERCENTILE.INC(_xlfn._xlws.FILTER(tabla_base[Rendimiento_por_hectarea_ton], tabla_base[tipo_cultivo]=tabla_base[[#This Row],[tipo_cultivo]]), 0.75)</f>
        <v>5.1635450000000001</v>
      </c>
      <c r="M157" s="7" t="str">
        <f>IF(tabla_base[[#This Row],[Rendimiento_por_hectarea_ton]]&gt;tabla_base[[#This Row],[percentil_0,75]],"Sí","No")</f>
        <v>No</v>
      </c>
      <c r="N157" s="3">
        <v>0.74</v>
      </c>
      <c r="O157" t="s">
        <v>26</v>
      </c>
    </row>
    <row r="158" spans="1:15" x14ac:dyDescent="0.35">
      <c r="A158" t="s">
        <v>190</v>
      </c>
      <c r="B158" s="1" t="s">
        <v>22</v>
      </c>
      <c r="C158" s="1" t="s">
        <v>30</v>
      </c>
      <c r="D158" s="1" t="s">
        <v>18</v>
      </c>
      <c r="E158" s="2">
        <v>36.56</v>
      </c>
      <c r="F158" s="3">
        <v>6.25</v>
      </c>
      <c r="G158" s="3">
        <v>29.76</v>
      </c>
      <c r="H158" s="4">
        <v>126.88</v>
      </c>
      <c r="I158" s="3">
        <v>50.26</v>
      </c>
      <c r="J158" t="s">
        <v>19</v>
      </c>
      <c r="K158" s="5">
        <v>2.3721100000000002</v>
      </c>
      <c r="L158" s="6" cm="1">
        <f t="array" ref="L158">_xlfn.PERCENTILE.INC(_xlfn._xlws.FILTER(tabla_base[Rendimiento_por_hectarea_ton], tabla_base[tipo_cultivo]=tabla_base[[#This Row],[tipo_cultivo]]), 0.75)</f>
        <v>5.2079399999999998</v>
      </c>
      <c r="M158" s="7" t="str">
        <f>IF(tabla_base[[#This Row],[Rendimiento_por_hectarea_ton]]&gt;tabla_base[[#This Row],[percentil_0,75]],"Sí","No")</f>
        <v>No</v>
      </c>
      <c r="N158" s="3">
        <v>0.35</v>
      </c>
      <c r="O158" t="s">
        <v>44</v>
      </c>
    </row>
    <row r="159" spans="1:15" x14ac:dyDescent="0.35">
      <c r="A159" t="s">
        <v>191</v>
      </c>
      <c r="B159" s="1" t="s">
        <v>22</v>
      </c>
      <c r="C159" s="1" t="s">
        <v>23</v>
      </c>
      <c r="D159" s="1" t="s">
        <v>18</v>
      </c>
      <c r="E159" s="2">
        <v>30.33</v>
      </c>
      <c r="F159" s="3">
        <v>6.51</v>
      </c>
      <c r="G159" s="3">
        <v>27.74</v>
      </c>
      <c r="H159" s="4">
        <v>148.59</v>
      </c>
      <c r="I159" s="3">
        <v>69.59</v>
      </c>
      <c r="J159" t="s">
        <v>25</v>
      </c>
      <c r="K159" s="5">
        <v>4.8028999999999993</v>
      </c>
      <c r="L159" s="6" cm="1">
        <f t="array" ref="L159">_xlfn.PERCENTILE.INC(_xlfn._xlws.FILTER(tabla_base[Rendimiento_por_hectarea_ton], tabla_base[tipo_cultivo]=tabla_base[[#This Row],[tipo_cultivo]]), 0.75)</f>
        <v>5.2079399999999998</v>
      </c>
      <c r="M159" s="7" t="str">
        <f>IF(tabla_base[[#This Row],[Rendimiento_por_hectarea_ton]]&gt;tabla_base[[#This Row],[percentil_0,75]],"Sí","No")</f>
        <v>No</v>
      </c>
      <c r="N159" s="3">
        <v>0.8</v>
      </c>
      <c r="O159" t="s">
        <v>20</v>
      </c>
    </row>
    <row r="160" spans="1:15" x14ac:dyDescent="0.35">
      <c r="A160" t="s">
        <v>192</v>
      </c>
      <c r="B160" s="1" t="s">
        <v>16</v>
      </c>
      <c r="C160" s="1" t="s">
        <v>23</v>
      </c>
      <c r="D160" s="1" t="s">
        <v>24</v>
      </c>
      <c r="E160" s="2">
        <v>13.81</v>
      </c>
      <c r="F160" s="3">
        <v>5.71</v>
      </c>
      <c r="G160" s="3">
        <v>23.99</v>
      </c>
      <c r="H160" s="4">
        <v>128.51</v>
      </c>
      <c r="I160" s="3">
        <v>46.04</v>
      </c>
      <c r="J160" t="s">
        <v>25</v>
      </c>
      <c r="K160" s="5">
        <v>2.3616799999999998</v>
      </c>
      <c r="L160" s="6" cm="1">
        <f t="array" ref="L160">_xlfn.PERCENTILE.INC(_xlfn._xlws.FILTER(tabla_base[Rendimiento_por_hectarea_ton], tabla_base[tipo_cultivo]=tabla_base[[#This Row],[tipo_cultivo]]), 0.75)</f>
        <v>5.3984449999999997</v>
      </c>
      <c r="M160" s="7" t="str">
        <f>IF(tabla_base[[#This Row],[Rendimiento_por_hectarea_ton]]&gt;tabla_base[[#This Row],[percentil_0,75]],"Sí","No")</f>
        <v>No</v>
      </c>
      <c r="N160" s="3">
        <v>0.46</v>
      </c>
      <c r="O160" t="s">
        <v>26</v>
      </c>
    </row>
    <row r="161" spans="1:15" x14ac:dyDescent="0.35">
      <c r="A161" t="s">
        <v>193</v>
      </c>
      <c r="B161" s="1" t="s">
        <v>22</v>
      </c>
      <c r="C161" s="1" t="s">
        <v>30</v>
      </c>
      <c r="D161" s="1" t="s">
        <v>35</v>
      </c>
      <c r="E161" s="2">
        <v>13.19</v>
      </c>
      <c r="F161" s="3">
        <v>6</v>
      </c>
      <c r="G161" s="3">
        <v>22.11</v>
      </c>
      <c r="H161" s="4">
        <v>178.36</v>
      </c>
      <c r="I161" s="3">
        <v>73.86</v>
      </c>
      <c r="J161" t="s">
        <v>25</v>
      </c>
      <c r="K161" s="5">
        <v>4.2004799999999998</v>
      </c>
      <c r="L161" s="6" cm="1">
        <f t="array" ref="L161">_xlfn.PERCENTILE.INC(_xlfn._xlws.FILTER(tabla_base[Rendimiento_por_hectarea_ton], tabla_base[tipo_cultivo]=tabla_base[[#This Row],[tipo_cultivo]]), 0.75)</f>
        <v>5.1318025</v>
      </c>
      <c r="M161" s="7" t="str">
        <f>IF(tabla_base[[#This Row],[Rendimiento_por_hectarea_ton]]&gt;tabla_base[[#This Row],[percentil_0,75]],"Sí","No")</f>
        <v>No</v>
      </c>
      <c r="N161" s="3">
        <v>0.39</v>
      </c>
      <c r="O161" t="s">
        <v>19</v>
      </c>
    </row>
    <row r="162" spans="1:15" x14ac:dyDescent="0.35">
      <c r="A162" t="s">
        <v>194</v>
      </c>
      <c r="B162" s="1" t="s">
        <v>16</v>
      </c>
      <c r="C162" s="1" t="s">
        <v>17</v>
      </c>
      <c r="D162" s="1" t="s">
        <v>35</v>
      </c>
      <c r="E162" s="2">
        <v>14.58</v>
      </c>
      <c r="F162" s="3">
        <v>7.15</v>
      </c>
      <c r="G162" s="3">
        <v>22.44</v>
      </c>
      <c r="H162" s="4">
        <v>207.57</v>
      </c>
      <c r="I162" s="3">
        <v>72.23</v>
      </c>
      <c r="J162" t="s">
        <v>37</v>
      </c>
      <c r="K162" s="5">
        <v>4.5839499999999997</v>
      </c>
      <c r="L162" s="6" cm="1">
        <f t="array" ref="L162">_xlfn.PERCENTILE.INC(_xlfn._xlws.FILTER(tabla_base[Rendimiento_por_hectarea_ton], tabla_base[tipo_cultivo]=tabla_base[[#This Row],[tipo_cultivo]]), 0.75)</f>
        <v>5.1318025</v>
      </c>
      <c r="M162" s="7" t="str">
        <f>IF(tabla_base[[#This Row],[Rendimiento_por_hectarea_ton]]&gt;tabla_base[[#This Row],[percentil_0,75]],"Sí","No")</f>
        <v>No</v>
      </c>
      <c r="N162" s="3">
        <v>0.5</v>
      </c>
      <c r="O162" t="s">
        <v>20</v>
      </c>
    </row>
    <row r="163" spans="1:15" x14ac:dyDescent="0.35">
      <c r="A163" t="s">
        <v>195</v>
      </c>
      <c r="B163" s="1" t="s">
        <v>16</v>
      </c>
      <c r="C163" s="1" t="s">
        <v>17</v>
      </c>
      <c r="D163" s="1" t="s">
        <v>33</v>
      </c>
      <c r="E163" s="2">
        <v>11.77</v>
      </c>
      <c r="F163" s="3">
        <v>7.35</v>
      </c>
      <c r="G163" s="3">
        <v>23.66</v>
      </c>
      <c r="H163" s="4">
        <v>231.11</v>
      </c>
      <c r="I163" s="3">
        <v>64.81</v>
      </c>
      <c r="J163" t="s">
        <v>19</v>
      </c>
      <c r="K163" s="5">
        <v>3.7840500000000001</v>
      </c>
      <c r="L163" s="6" cm="1">
        <f t="array" ref="L163">_xlfn.PERCENTILE.INC(_xlfn._xlws.FILTER(tabla_base[Rendimiento_por_hectarea_ton], tabla_base[tipo_cultivo]=tabla_base[[#This Row],[tipo_cultivo]]), 0.75)</f>
        <v>5.1635450000000001</v>
      </c>
      <c r="M163" s="7" t="str">
        <f>IF(tabla_base[[#This Row],[Rendimiento_por_hectarea_ton]]&gt;tabla_base[[#This Row],[percentil_0,75]],"Sí","No")</f>
        <v>No</v>
      </c>
      <c r="N163" s="3">
        <v>0.75</v>
      </c>
      <c r="O163" t="s">
        <v>19</v>
      </c>
    </row>
    <row r="164" spans="1:15" x14ac:dyDescent="0.35">
      <c r="A164" t="s">
        <v>196</v>
      </c>
      <c r="B164" s="1" t="s">
        <v>22</v>
      </c>
      <c r="C164" s="1" t="s">
        <v>23</v>
      </c>
      <c r="D164" s="1" t="s">
        <v>33</v>
      </c>
      <c r="E164" s="2">
        <v>40.9</v>
      </c>
      <c r="F164" s="3">
        <v>6.46</v>
      </c>
      <c r="G164" s="3">
        <v>16.75</v>
      </c>
      <c r="H164" s="4">
        <v>145.75</v>
      </c>
      <c r="I164" s="3">
        <v>60.96</v>
      </c>
      <c r="J164" t="s">
        <v>25</v>
      </c>
      <c r="K164" s="5">
        <v>5.9576099999999999</v>
      </c>
      <c r="L164" s="6" cm="1">
        <f t="array" ref="L164">_xlfn.PERCENTILE.INC(_xlfn._xlws.FILTER(tabla_base[Rendimiento_por_hectarea_ton], tabla_base[tipo_cultivo]=tabla_base[[#This Row],[tipo_cultivo]]), 0.75)</f>
        <v>5.1635450000000001</v>
      </c>
      <c r="M164" s="7" t="str">
        <f>IF(tabla_base[[#This Row],[Rendimiento_por_hectarea_ton]]&gt;tabla_base[[#This Row],[percentil_0,75]],"Sí","No")</f>
        <v>Sí</v>
      </c>
      <c r="N164" s="3">
        <v>0.66</v>
      </c>
      <c r="O164" t="s">
        <v>20</v>
      </c>
    </row>
    <row r="165" spans="1:15" x14ac:dyDescent="0.35">
      <c r="A165" t="s">
        <v>197</v>
      </c>
      <c r="B165" s="1" t="s">
        <v>22</v>
      </c>
      <c r="C165" s="1" t="s">
        <v>23</v>
      </c>
      <c r="D165" s="1" t="s">
        <v>31</v>
      </c>
      <c r="E165" s="2">
        <v>16.29</v>
      </c>
      <c r="F165" s="3">
        <v>6.14</v>
      </c>
      <c r="G165" s="3">
        <v>19.38</v>
      </c>
      <c r="H165" s="4">
        <v>273.94</v>
      </c>
      <c r="I165" s="3">
        <v>78.930000000000007</v>
      </c>
      <c r="J165" t="s">
        <v>19</v>
      </c>
      <c r="K165" s="5">
        <v>2.4005399999999999</v>
      </c>
      <c r="L165" s="6" cm="1">
        <f t="array" ref="L165">_xlfn.PERCENTILE.INC(_xlfn._xlws.FILTER(tabla_base[Rendimiento_por_hectarea_ton], tabla_base[tipo_cultivo]=tabla_base[[#This Row],[tipo_cultivo]]), 0.75)</f>
        <v>5.1742550000000005</v>
      </c>
      <c r="M165" s="7" t="str">
        <f>IF(tabla_base[[#This Row],[Rendimiento_por_hectarea_ton]]&gt;tabla_base[[#This Row],[percentil_0,75]],"Sí","No")</f>
        <v>No</v>
      </c>
      <c r="N165" s="3">
        <v>0.42</v>
      </c>
      <c r="O165" t="s">
        <v>44</v>
      </c>
    </row>
    <row r="166" spans="1:15" x14ac:dyDescent="0.35">
      <c r="A166" t="s">
        <v>198</v>
      </c>
      <c r="B166" s="1" t="s">
        <v>16</v>
      </c>
      <c r="C166" s="1" t="s">
        <v>23</v>
      </c>
      <c r="D166" s="1" t="s">
        <v>24</v>
      </c>
      <c r="E166" s="2">
        <v>39.630000000000003</v>
      </c>
      <c r="F166" s="3">
        <v>7.09</v>
      </c>
      <c r="G166" s="3">
        <v>22.1</v>
      </c>
      <c r="H166" s="4">
        <v>259.81</v>
      </c>
      <c r="I166" s="3">
        <v>82.26</v>
      </c>
      <c r="J166" t="s">
        <v>37</v>
      </c>
      <c r="K166" s="5">
        <v>4.8022399999999994</v>
      </c>
      <c r="L166" s="6" cm="1">
        <f t="array" ref="L166">_xlfn.PERCENTILE.INC(_xlfn._xlws.FILTER(tabla_base[Rendimiento_por_hectarea_ton], tabla_base[tipo_cultivo]=tabla_base[[#This Row],[tipo_cultivo]]), 0.75)</f>
        <v>5.3984449999999997</v>
      </c>
      <c r="M166" s="7" t="str">
        <f>IF(tabla_base[[#This Row],[Rendimiento_por_hectarea_ton]]&gt;tabla_base[[#This Row],[percentil_0,75]],"Sí","No")</f>
        <v>No</v>
      </c>
      <c r="N166" s="3">
        <v>0.64</v>
      </c>
      <c r="O166" t="s">
        <v>20</v>
      </c>
    </row>
    <row r="167" spans="1:15" x14ac:dyDescent="0.35">
      <c r="A167" t="s">
        <v>199</v>
      </c>
      <c r="B167" s="1" t="s">
        <v>39</v>
      </c>
      <c r="C167" s="1" t="s">
        <v>40</v>
      </c>
      <c r="D167" s="1" t="s">
        <v>31</v>
      </c>
      <c r="E167" s="2">
        <v>16.14</v>
      </c>
      <c r="F167" s="3">
        <v>5.58</v>
      </c>
      <c r="G167" s="3">
        <v>16.12</v>
      </c>
      <c r="H167" s="4">
        <v>200.42</v>
      </c>
      <c r="I167" s="3">
        <v>41</v>
      </c>
      <c r="J167" t="s">
        <v>37</v>
      </c>
      <c r="K167" s="5">
        <v>2.7098400000000002</v>
      </c>
      <c r="L167" s="6" cm="1">
        <f t="array" ref="L167">_xlfn.PERCENTILE.INC(_xlfn._xlws.FILTER(tabla_base[Rendimiento_por_hectarea_ton], tabla_base[tipo_cultivo]=tabla_base[[#This Row],[tipo_cultivo]]), 0.75)</f>
        <v>5.1742550000000005</v>
      </c>
      <c r="M167" s="7" t="str">
        <f>IF(tabla_base[[#This Row],[Rendimiento_por_hectarea_ton]]&gt;tabla_base[[#This Row],[percentil_0,75]],"Sí","No")</f>
        <v>No</v>
      </c>
      <c r="N167" s="3">
        <v>0.33</v>
      </c>
      <c r="O167" t="s">
        <v>19</v>
      </c>
    </row>
    <row r="168" spans="1:15" x14ac:dyDescent="0.35">
      <c r="A168" t="s">
        <v>200</v>
      </c>
      <c r="B168" s="1" t="s">
        <v>16</v>
      </c>
      <c r="C168" s="1" t="s">
        <v>17</v>
      </c>
      <c r="D168" s="1" t="s">
        <v>24</v>
      </c>
      <c r="E168" s="2">
        <v>40.119999999999997</v>
      </c>
      <c r="F168" s="3">
        <v>7.42</v>
      </c>
      <c r="G168" s="3">
        <v>22.47</v>
      </c>
      <c r="H168" s="4">
        <v>285.48</v>
      </c>
      <c r="I168" s="3">
        <v>59.78</v>
      </c>
      <c r="J168" t="s">
        <v>37</v>
      </c>
      <c r="K168" s="5">
        <v>3.7474699999999999</v>
      </c>
      <c r="L168" s="6" cm="1">
        <f t="array" ref="L168">_xlfn.PERCENTILE.INC(_xlfn._xlws.FILTER(tabla_base[Rendimiento_por_hectarea_ton], tabla_base[tipo_cultivo]=tabla_base[[#This Row],[tipo_cultivo]]), 0.75)</f>
        <v>5.3984449999999997</v>
      </c>
      <c r="M168" s="7" t="str">
        <f>IF(tabla_base[[#This Row],[Rendimiento_por_hectarea_ton]]&gt;tabla_base[[#This Row],[percentil_0,75]],"Sí","No")</f>
        <v>No</v>
      </c>
      <c r="N168" s="3">
        <v>0.77</v>
      </c>
      <c r="O168" t="s">
        <v>19</v>
      </c>
    </row>
    <row r="169" spans="1:15" x14ac:dyDescent="0.35">
      <c r="A169" t="s">
        <v>201</v>
      </c>
      <c r="B169" s="1" t="s">
        <v>16</v>
      </c>
      <c r="C169" s="1" t="s">
        <v>23</v>
      </c>
      <c r="D169" s="1" t="s">
        <v>24</v>
      </c>
      <c r="E169" s="2">
        <v>38.51</v>
      </c>
      <c r="F169" s="3">
        <v>6.26</v>
      </c>
      <c r="G169" s="3">
        <v>29.68</v>
      </c>
      <c r="H169" s="4">
        <v>123.63</v>
      </c>
      <c r="I169" s="3">
        <v>48.89</v>
      </c>
      <c r="J169" t="s">
        <v>19</v>
      </c>
      <c r="K169" s="5">
        <v>5.2352299999999996</v>
      </c>
      <c r="L169" s="6" cm="1">
        <f t="array" ref="L169">_xlfn.PERCENTILE.INC(_xlfn._xlws.FILTER(tabla_base[Rendimiento_por_hectarea_ton], tabla_base[tipo_cultivo]=tabla_base[[#This Row],[tipo_cultivo]]), 0.75)</f>
        <v>5.3984449999999997</v>
      </c>
      <c r="M169" s="7" t="str">
        <f>IF(tabla_base[[#This Row],[Rendimiento_por_hectarea_ton]]&gt;tabla_base[[#This Row],[percentil_0,75]],"Sí","No")</f>
        <v>No</v>
      </c>
      <c r="N169" s="3">
        <v>0.35</v>
      </c>
      <c r="O169" t="s">
        <v>26</v>
      </c>
    </row>
    <row r="170" spans="1:15" x14ac:dyDescent="0.35">
      <c r="A170" t="s">
        <v>202</v>
      </c>
      <c r="B170" s="1" t="s">
        <v>16</v>
      </c>
      <c r="C170" s="1" t="s">
        <v>17</v>
      </c>
      <c r="D170" s="1" t="s">
        <v>35</v>
      </c>
      <c r="E170" s="2">
        <v>22.14</v>
      </c>
      <c r="F170" s="3">
        <v>6.14</v>
      </c>
      <c r="G170" s="3">
        <v>27.72</v>
      </c>
      <c r="H170" s="4">
        <v>290.77</v>
      </c>
      <c r="I170" s="3">
        <v>81.08</v>
      </c>
      <c r="J170" t="s">
        <v>37</v>
      </c>
      <c r="K170" s="5">
        <v>2.2711799999999998</v>
      </c>
      <c r="L170" s="6" cm="1">
        <f t="array" ref="L170">_xlfn.PERCENTILE.INC(_xlfn._xlws.FILTER(tabla_base[Rendimiento_por_hectarea_ton], tabla_base[tipo_cultivo]=tabla_base[[#This Row],[tipo_cultivo]]), 0.75)</f>
        <v>5.1318025</v>
      </c>
      <c r="M170" s="7" t="str">
        <f>IF(tabla_base[[#This Row],[Rendimiento_por_hectarea_ton]]&gt;tabla_base[[#This Row],[percentil_0,75]],"Sí","No")</f>
        <v>No</v>
      </c>
      <c r="N170" s="3">
        <v>0.74</v>
      </c>
      <c r="O170" t="s">
        <v>19</v>
      </c>
    </row>
    <row r="171" spans="1:15" x14ac:dyDescent="0.35">
      <c r="A171" t="s">
        <v>203</v>
      </c>
      <c r="B171" s="1" t="s">
        <v>22</v>
      </c>
      <c r="C171" s="1" t="s">
        <v>23</v>
      </c>
      <c r="D171" s="1" t="s">
        <v>35</v>
      </c>
      <c r="E171" s="2">
        <v>40.96</v>
      </c>
      <c r="F171" s="3">
        <v>6.49</v>
      </c>
      <c r="G171" s="3">
        <v>22.57</v>
      </c>
      <c r="H171" s="4">
        <v>186.51</v>
      </c>
      <c r="I171" s="3">
        <v>45.07</v>
      </c>
      <c r="J171" t="s">
        <v>25</v>
      </c>
      <c r="K171" s="5">
        <v>3.2748699999999999</v>
      </c>
      <c r="L171" s="6" cm="1">
        <f t="array" ref="L171">_xlfn.PERCENTILE.INC(_xlfn._xlws.FILTER(tabla_base[Rendimiento_por_hectarea_ton], tabla_base[tipo_cultivo]=tabla_base[[#This Row],[tipo_cultivo]]), 0.75)</f>
        <v>5.1318025</v>
      </c>
      <c r="M171" s="7" t="str">
        <f>IF(tabla_base[[#This Row],[Rendimiento_por_hectarea_ton]]&gt;tabla_base[[#This Row],[percentil_0,75]],"Sí","No")</f>
        <v>No</v>
      </c>
      <c r="N171" s="3">
        <v>0.71</v>
      </c>
      <c r="O171" t="s">
        <v>19</v>
      </c>
    </row>
    <row r="172" spans="1:15" x14ac:dyDescent="0.35">
      <c r="A172" t="s">
        <v>204</v>
      </c>
      <c r="B172" s="1" t="s">
        <v>39</v>
      </c>
      <c r="C172" s="1" t="s">
        <v>40</v>
      </c>
      <c r="D172" s="1" t="s">
        <v>18</v>
      </c>
      <c r="E172" s="2">
        <v>21.83</v>
      </c>
      <c r="F172" s="3">
        <v>7.47</v>
      </c>
      <c r="G172" s="3">
        <v>32.86</v>
      </c>
      <c r="H172" s="4">
        <v>226.13</v>
      </c>
      <c r="I172" s="3">
        <v>61.57</v>
      </c>
      <c r="J172" t="s">
        <v>19</v>
      </c>
      <c r="K172" s="5">
        <v>3.6371199999999999</v>
      </c>
      <c r="L172" s="6" cm="1">
        <f t="array" ref="L172">_xlfn.PERCENTILE.INC(_xlfn._xlws.FILTER(tabla_base[Rendimiento_por_hectarea_ton], tabla_base[tipo_cultivo]=tabla_base[[#This Row],[tipo_cultivo]]), 0.75)</f>
        <v>5.2079399999999998</v>
      </c>
      <c r="M172" s="7" t="str">
        <f>IF(tabla_base[[#This Row],[Rendimiento_por_hectarea_ton]]&gt;tabla_base[[#This Row],[percentil_0,75]],"Sí","No")</f>
        <v>No</v>
      </c>
      <c r="N172" s="3">
        <v>0.61</v>
      </c>
      <c r="O172" t="s">
        <v>20</v>
      </c>
    </row>
    <row r="173" spans="1:15" x14ac:dyDescent="0.35">
      <c r="A173" t="s">
        <v>205</v>
      </c>
      <c r="B173" s="1" t="s">
        <v>22</v>
      </c>
      <c r="C173" s="1" t="s">
        <v>30</v>
      </c>
      <c r="D173" s="1" t="s">
        <v>35</v>
      </c>
      <c r="E173" s="2">
        <v>13.36</v>
      </c>
      <c r="F173" s="3">
        <v>6.29</v>
      </c>
      <c r="G173" s="3">
        <v>25.99</v>
      </c>
      <c r="H173" s="4">
        <v>172.74</v>
      </c>
      <c r="I173" s="3">
        <v>42.73</v>
      </c>
      <c r="J173" t="s">
        <v>28</v>
      </c>
      <c r="K173" s="5">
        <v>2.7986999999999997</v>
      </c>
      <c r="L173" s="6" cm="1">
        <f t="array" ref="L173">_xlfn.PERCENTILE.INC(_xlfn._xlws.FILTER(tabla_base[Rendimiento_por_hectarea_ton], tabla_base[tipo_cultivo]=tabla_base[[#This Row],[tipo_cultivo]]), 0.75)</f>
        <v>5.1318025</v>
      </c>
      <c r="M173" s="7" t="str">
        <f>IF(tabla_base[[#This Row],[Rendimiento_por_hectarea_ton]]&gt;tabla_base[[#This Row],[percentil_0,75]],"Sí","No")</f>
        <v>No</v>
      </c>
      <c r="N173" s="3">
        <v>0.68</v>
      </c>
      <c r="O173" t="s">
        <v>20</v>
      </c>
    </row>
    <row r="174" spans="1:15" x14ac:dyDescent="0.35">
      <c r="A174" t="s">
        <v>206</v>
      </c>
      <c r="B174" s="1" t="s">
        <v>16</v>
      </c>
      <c r="C174" s="1" t="s">
        <v>17</v>
      </c>
      <c r="D174" s="1" t="s">
        <v>31</v>
      </c>
      <c r="E174" s="2">
        <v>37.47</v>
      </c>
      <c r="F174" s="3">
        <v>6.44</v>
      </c>
      <c r="G174" s="3">
        <v>32.9</v>
      </c>
      <c r="H174" s="4">
        <v>116.25</v>
      </c>
      <c r="I174" s="3">
        <v>72.09</v>
      </c>
      <c r="J174" t="s">
        <v>37</v>
      </c>
      <c r="K174" s="5">
        <v>3.7589600000000001</v>
      </c>
      <c r="L174" s="6" cm="1">
        <f t="array" ref="L174">_xlfn.PERCENTILE.INC(_xlfn._xlws.FILTER(tabla_base[Rendimiento_por_hectarea_ton], tabla_base[tipo_cultivo]=tabla_base[[#This Row],[tipo_cultivo]]), 0.75)</f>
        <v>5.1742550000000005</v>
      </c>
      <c r="M174" s="7" t="str">
        <f>IF(tabla_base[[#This Row],[Rendimiento_por_hectarea_ton]]&gt;tabla_base[[#This Row],[percentil_0,75]],"Sí","No")</f>
        <v>No</v>
      </c>
      <c r="N174" s="3">
        <v>0.79</v>
      </c>
      <c r="O174" t="s">
        <v>20</v>
      </c>
    </row>
    <row r="175" spans="1:15" x14ac:dyDescent="0.35">
      <c r="A175" t="s">
        <v>207</v>
      </c>
      <c r="B175" s="1" t="s">
        <v>16</v>
      </c>
      <c r="C175" s="1" t="s">
        <v>17</v>
      </c>
      <c r="D175" s="1" t="s">
        <v>31</v>
      </c>
      <c r="E175" s="2">
        <v>38.29</v>
      </c>
      <c r="F175" s="3">
        <v>6.33</v>
      </c>
      <c r="G175" s="3">
        <v>30.13</v>
      </c>
      <c r="H175" s="4">
        <v>106.88</v>
      </c>
      <c r="I175" s="3">
        <v>43.05</v>
      </c>
      <c r="J175" t="s">
        <v>19</v>
      </c>
      <c r="K175" s="5">
        <v>2.9425700000000004</v>
      </c>
      <c r="L175" s="6" cm="1">
        <f t="array" ref="L175">_xlfn.PERCENTILE.INC(_xlfn._xlws.FILTER(tabla_base[Rendimiento_por_hectarea_ton], tabla_base[tipo_cultivo]=tabla_base[[#This Row],[tipo_cultivo]]), 0.75)</f>
        <v>5.1742550000000005</v>
      </c>
      <c r="M175" s="7" t="str">
        <f>IF(tabla_base[[#This Row],[Rendimiento_por_hectarea_ton]]&gt;tabla_base[[#This Row],[percentil_0,75]],"Sí","No")</f>
        <v>No</v>
      </c>
      <c r="N175" s="3">
        <v>0.6</v>
      </c>
      <c r="O175" t="s">
        <v>26</v>
      </c>
    </row>
    <row r="176" spans="1:15" x14ac:dyDescent="0.35">
      <c r="A176" t="s">
        <v>208</v>
      </c>
      <c r="B176" s="1" t="s">
        <v>16</v>
      </c>
      <c r="C176" s="1" t="s">
        <v>17</v>
      </c>
      <c r="D176" s="1" t="s">
        <v>33</v>
      </c>
      <c r="E176" s="2">
        <v>16.05</v>
      </c>
      <c r="F176" s="3">
        <v>7.47</v>
      </c>
      <c r="G176" s="3">
        <v>34.44</v>
      </c>
      <c r="H176" s="4">
        <v>252.12</v>
      </c>
      <c r="I176" s="3">
        <v>46.31</v>
      </c>
      <c r="J176" t="s">
        <v>19</v>
      </c>
      <c r="K176" s="5">
        <v>4.3801899999999998</v>
      </c>
      <c r="L176" s="6" cm="1">
        <f t="array" ref="L176">_xlfn.PERCENTILE.INC(_xlfn._xlws.FILTER(tabla_base[Rendimiento_por_hectarea_ton], tabla_base[tipo_cultivo]=tabla_base[[#This Row],[tipo_cultivo]]), 0.75)</f>
        <v>5.1635450000000001</v>
      </c>
      <c r="M176" s="7" t="str">
        <f>IF(tabla_base[[#This Row],[Rendimiento_por_hectarea_ton]]&gt;tabla_base[[#This Row],[percentil_0,75]],"Sí","No")</f>
        <v>No</v>
      </c>
      <c r="N176" s="3">
        <v>0.51</v>
      </c>
      <c r="O176" t="s">
        <v>26</v>
      </c>
    </row>
    <row r="177" spans="1:15" x14ac:dyDescent="0.35">
      <c r="A177" t="s">
        <v>209</v>
      </c>
      <c r="B177" s="1" t="s">
        <v>39</v>
      </c>
      <c r="C177" s="1" t="s">
        <v>40</v>
      </c>
      <c r="D177" s="1" t="s">
        <v>33</v>
      </c>
      <c r="E177" s="2">
        <v>29.32</v>
      </c>
      <c r="F177" s="3">
        <v>7.21</v>
      </c>
      <c r="G177" s="3">
        <v>25.39</v>
      </c>
      <c r="H177" s="4">
        <v>279.29000000000002</v>
      </c>
      <c r="I177" s="3">
        <v>40.619999999999997</v>
      </c>
      <c r="J177" t="s">
        <v>19</v>
      </c>
      <c r="K177" s="5">
        <v>4.3307099999999998</v>
      </c>
      <c r="L177" s="6" cm="1">
        <f t="array" ref="L177">_xlfn.PERCENTILE.INC(_xlfn._xlws.FILTER(tabla_base[Rendimiento_por_hectarea_ton], tabla_base[tipo_cultivo]=tabla_base[[#This Row],[tipo_cultivo]]), 0.75)</f>
        <v>5.1635450000000001</v>
      </c>
      <c r="M177" s="7" t="str">
        <f>IF(tabla_base[[#This Row],[Rendimiento_por_hectarea_ton]]&gt;tabla_base[[#This Row],[percentil_0,75]],"Sí","No")</f>
        <v>No</v>
      </c>
      <c r="N177" s="3">
        <v>0.71</v>
      </c>
      <c r="O177" t="s">
        <v>20</v>
      </c>
    </row>
    <row r="178" spans="1:15" x14ac:dyDescent="0.35">
      <c r="A178" t="s">
        <v>210</v>
      </c>
      <c r="B178" s="1" t="s">
        <v>39</v>
      </c>
      <c r="C178" s="1" t="s">
        <v>40</v>
      </c>
      <c r="D178" s="1" t="s">
        <v>31</v>
      </c>
      <c r="E178" s="2">
        <v>40.729999999999997</v>
      </c>
      <c r="F178" s="3">
        <v>6.03</v>
      </c>
      <c r="G178" s="3">
        <v>28.1</v>
      </c>
      <c r="H178" s="4">
        <v>193.01</v>
      </c>
      <c r="I178" s="3">
        <v>63.65</v>
      </c>
      <c r="J178" t="s">
        <v>19</v>
      </c>
      <c r="K178" s="5">
        <v>2.1551300000000002</v>
      </c>
      <c r="L178" s="6" cm="1">
        <f t="array" ref="L178">_xlfn.PERCENTILE.INC(_xlfn._xlws.FILTER(tabla_base[Rendimiento_por_hectarea_ton], tabla_base[tipo_cultivo]=tabla_base[[#This Row],[tipo_cultivo]]), 0.75)</f>
        <v>5.1742550000000005</v>
      </c>
      <c r="M178" s="7" t="str">
        <f>IF(tabla_base[[#This Row],[Rendimiento_por_hectarea_ton]]&gt;tabla_base[[#This Row],[percentil_0,75]],"Sí","No")</f>
        <v>No</v>
      </c>
      <c r="N178" s="3">
        <v>0.65</v>
      </c>
      <c r="O178" t="s">
        <v>44</v>
      </c>
    </row>
    <row r="179" spans="1:15" x14ac:dyDescent="0.35">
      <c r="A179" t="s">
        <v>211</v>
      </c>
      <c r="B179" s="1" t="s">
        <v>22</v>
      </c>
      <c r="C179" s="1" t="s">
        <v>30</v>
      </c>
      <c r="D179" s="1" t="s">
        <v>31</v>
      </c>
      <c r="E179" s="2">
        <v>10.71</v>
      </c>
      <c r="F179" s="3">
        <v>7.13</v>
      </c>
      <c r="G179" s="3">
        <v>21.06</v>
      </c>
      <c r="H179" s="4">
        <v>120.09</v>
      </c>
      <c r="I179" s="3">
        <v>64.58</v>
      </c>
      <c r="J179" t="s">
        <v>28</v>
      </c>
      <c r="K179" s="5">
        <v>5.3032899999999996</v>
      </c>
      <c r="L179" s="6" cm="1">
        <f t="array" ref="L179">_xlfn.PERCENTILE.INC(_xlfn._xlws.FILTER(tabla_base[Rendimiento_por_hectarea_ton], tabla_base[tipo_cultivo]=tabla_base[[#This Row],[tipo_cultivo]]), 0.75)</f>
        <v>5.1742550000000005</v>
      </c>
      <c r="M179" s="7" t="str">
        <f>IF(tabla_base[[#This Row],[Rendimiento_por_hectarea_ton]]&gt;tabla_base[[#This Row],[percentil_0,75]],"Sí","No")</f>
        <v>Sí</v>
      </c>
      <c r="N179" s="3">
        <v>0.47</v>
      </c>
      <c r="O179" t="s">
        <v>19</v>
      </c>
    </row>
    <row r="180" spans="1:15" x14ac:dyDescent="0.35">
      <c r="A180" t="s">
        <v>212</v>
      </c>
      <c r="B180" s="1" t="s">
        <v>16</v>
      </c>
      <c r="C180" s="1" t="s">
        <v>23</v>
      </c>
      <c r="D180" s="1" t="s">
        <v>33</v>
      </c>
      <c r="E180" s="2">
        <v>35.93</v>
      </c>
      <c r="F180" s="3">
        <v>7.02</v>
      </c>
      <c r="G180" s="3">
        <v>32.340000000000003</v>
      </c>
      <c r="H180" s="4">
        <v>255.25</v>
      </c>
      <c r="I180" s="3">
        <v>65.760000000000005</v>
      </c>
      <c r="J180" t="s">
        <v>37</v>
      </c>
      <c r="K180" s="5">
        <v>4.0971400000000004</v>
      </c>
      <c r="L180" s="6" cm="1">
        <f t="array" ref="L180">_xlfn.PERCENTILE.INC(_xlfn._xlws.FILTER(tabla_base[Rendimiento_por_hectarea_ton], tabla_base[tipo_cultivo]=tabla_base[[#This Row],[tipo_cultivo]]), 0.75)</f>
        <v>5.1635450000000001</v>
      </c>
      <c r="M180" s="7" t="str">
        <f>IF(tabla_base[[#This Row],[Rendimiento_por_hectarea_ton]]&gt;tabla_base[[#This Row],[percentil_0,75]],"Sí","No")</f>
        <v>No</v>
      </c>
      <c r="N180" s="3">
        <v>0.56000000000000005</v>
      </c>
      <c r="O180" t="s">
        <v>19</v>
      </c>
    </row>
    <row r="181" spans="1:15" x14ac:dyDescent="0.35">
      <c r="A181" t="s">
        <v>213</v>
      </c>
      <c r="B181" s="1" t="s">
        <v>16</v>
      </c>
      <c r="C181" s="1" t="s">
        <v>23</v>
      </c>
      <c r="D181" s="1" t="s">
        <v>18</v>
      </c>
      <c r="E181" s="2">
        <v>25.98</v>
      </c>
      <c r="F181" s="3">
        <v>7.34</v>
      </c>
      <c r="G181" s="3">
        <v>29.09</v>
      </c>
      <c r="H181" s="4">
        <v>118.49</v>
      </c>
      <c r="I181" s="3">
        <v>81.180000000000007</v>
      </c>
      <c r="J181" t="s">
        <v>28</v>
      </c>
      <c r="K181" s="5">
        <v>3.7844099999999998</v>
      </c>
      <c r="L181" s="6" cm="1">
        <f t="array" ref="L181">_xlfn.PERCENTILE.INC(_xlfn._xlws.FILTER(tabla_base[Rendimiento_por_hectarea_ton], tabla_base[tipo_cultivo]=tabla_base[[#This Row],[tipo_cultivo]]), 0.75)</f>
        <v>5.2079399999999998</v>
      </c>
      <c r="M181" s="7" t="str">
        <f>IF(tabla_base[[#This Row],[Rendimiento_por_hectarea_ton]]&gt;tabla_base[[#This Row],[percentil_0,75]],"Sí","No")</f>
        <v>No</v>
      </c>
      <c r="N181" s="3">
        <v>0.3</v>
      </c>
      <c r="O181" t="s">
        <v>26</v>
      </c>
    </row>
    <row r="182" spans="1:15" x14ac:dyDescent="0.35">
      <c r="A182" t="s">
        <v>214</v>
      </c>
      <c r="B182" s="1" t="s">
        <v>16</v>
      </c>
      <c r="C182" s="1" t="s">
        <v>17</v>
      </c>
      <c r="D182" s="1" t="s">
        <v>31</v>
      </c>
      <c r="E182" s="2">
        <v>10.96</v>
      </c>
      <c r="F182" s="3">
        <v>5.6</v>
      </c>
      <c r="G182" s="3">
        <v>32.08</v>
      </c>
      <c r="H182" s="4">
        <v>244.96</v>
      </c>
      <c r="I182" s="3">
        <v>50.72</v>
      </c>
      <c r="J182" t="s">
        <v>25</v>
      </c>
      <c r="K182" s="5">
        <v>2.0802100000000001</v>
      </c>
      <c r="L182" s="6" cm="1">
        <f t="array" ref="L182">_xlfn.PERCENTILE.INC(_xlfn._xlws.FILTER(tabla_base[Rendimiento_por_hectarea_ton], tabla_base[tipo_cultivo]=tabla_base[[#This Row],[tipo_cultivo]]), 0.75)</f>
        <v>5.1742550000000005</v>
      </c>
      <c r="M182" s="7" t="str">
        <f>IF(tabla_base[[#This Row],[Rendimiento_por_hectarea_ton]]&gt;tabla_base[[#This Row],[percentil_0,75]],"Sí","No")</f>
        <v>No</v>
      </c>
      <c r="N182" s="3">
        <v>0.59</v>
      </c>
      <c r="O182" t="s">
        <v>19</v>
      </c>
    </row>
    <row r="183" spans="1:15" x14ac:dyDescent="0.35">
      <c r="A183" t="s">
        <v>215</v>
      </c>
      <c r="B183" s="1" t="s">
        <v>16</v>
      </c>
      <c r="C183" s="1" t="s">
        <v>23</v>
      </c>
      <c r="D183" s="1" t="s">
        <v>24</v>
      </c>
      <c r="E183" s="2">
        <v>38.03</v>
      </c>
      <c r="F183" s="3">
        <v>5.95</v>
      </c>
      <c r="G183" s="3">
        <v>27.17</v>
      </c>
      <c r="H183" s="4">
        <v>285.75</v>
      </c>
      <c r="I183" s="3">
        <v>75.64</v>
      </c>
      <c r="J183" t="s">
        <v>37</v>
      </c>
      <c r="K183" s="5">
        <v>2.8728400000000001</v>
      </c>
      <c r="L183" s="6" cm="1">
        <f t="array" ref="L183">_xlfn.PERCENTILE.INC(_xlfn._xlws.FILTER(tabla_base[Rendimiento_por_hectarea_ton], tabla_base[tipo_cultivo]=tabla_base[[#This Row],[tipo_cultivo]]), 0.75)</f>
        <v>5.3984449999999997</v>
      </c>
      <c r="M183" s="7" t="str">
        <f>IF(tabla_base[[#This Row],[Rendimiento_por_hectarea_ton]]&gt;tabla_base[[#This Row],[percentil_0,75]],"Sí","No")</f>
        <v>No</v>
      </c>
      <c r="N183" s="3">
        <v>0.49</v>
      </c>
      <c r="O183" t="s">
        <v>26</v>
      </c>
    </row>
    <row r="184" spans="1:15" x14ac:dyDescent="0.35">
      <c r="A184" t="s">
        <v>216</v>
      </c>
      <c r="B184" s="1" t="s">
        <v>16</v>
      </c>
      <c r="C184" s="1" t="s">
        <v>17</v>
      </c>
      <c r="D184" s="1" t="s">
        <v>24</v>
      </c>
      <c r="E184" s="2">
        <v>44.98</v>
      </c>
      <c r="F184" s="3">
        <v>7.43</v>
      </c>
      <c r="G184" s="3">
        <v>31.79</v>
      </c>
      <c r="H184" s="4">
        <v>190.36</v>
      </c>
      <c r="I184" s="3">
        <v>69.69</v>
      </c>
      <c r="J184" t="s">
        <v>28</v>
      </c>
      <c r="K184" s="5">
        <v>5.44597</v>
      </c>
      <c r="L184" s="6" cm="1">
        <f t="array" ref="L184">_xlfn.PERCENTILE.INC(_xlfn._xlws.FILTER(tabla_base[Rendimiento_por_hectarea_ton], tabla_base[tipo_cultivo]=tabla_base[[#This Row],[tipo_cultivo]]), 0.75)</f>
        <v>5.3984449999999997</v>
      </c>
      <c r="M184" s="7" t="str">
        <f>IF(tabla_base[[#This Row],[Rendimiento_por_hectarea_ton]]&gt;tabla_base[[#This Row],[percentil_0,75]],"Sí","No")</f>
        <v>Sí</v>
      </c>
      <c r="N184" s="3">
        <v>0.46</v>
      </c>
      <c r="O184" t="s">
        <v>19</v>
      </c>
    </row>
    <row r="185" spans="1:15" x14ac:dyDescent="0.35">
      <c r="A185" t="s">
        <v>217</v>
      </c>
      <c r="B185" s="1" t="s">
        <v>16</v>
      </c>
      <c r="C185" s="1" t="s">
        <v>23</v>
      </c>
      <c r="D185" s="1" t="s">
        <v>24</v>
      </c>
      <c r="E185" s="2">
        <v>36.79</v>
      </c>
      <c r="F185" s="3">
        <v>7.3</v>
      </c>
      <c r="G185" s="3">
        <v>31.11</v>
      </c>
      <c r="H185" s="4">
        <v>250.59</v>
      </c>
      <c r="I185" s="3">
        <v>70</v>
      </c>
      <c r="J185" t="s">
        <v>25</v>
      </c>
      <c r="K185" s="5">
        <v>5.62765</v>
      </c>
      <c r="L185" s="6" cm="1">
        <f t="array" ref="L185">_xlfn.PERCENTILE.INC(_xlfn._xlws.FILTER(tabla_base[Rendimiento_por_hectarea_ton], tabla_base[tipo_cultivo]=tabla_base[[#This Row],[tipo_cultivo]]), 0.75)</f>
        <v>5.3984449999999997</v>
      </c>
      <c r="M185" s="7" t="str">
        <f>IF(tabla_base[[#This Row],[Rendimiento_por_hectarea_ton]]&gt;tabla_base[[#This Row],[percentil_0,75]],"Sí","No")</f>
        <v>Sí</v>
      </c>
      <c r="N185" s="3">
        <v>0.53</v>
      </c>
      <c r="O185" t="s">
        <v>26</v>
      </c>
    </row>
    <row r="186" spans="1:15" x14ac:dyDescent="0.35">
      <c r="A186" t="s">
        <v>218</v>
      </c>
      <c r="B186" s="1" t="s">
        <v>22</v>
      </c>
      <c r="C186" s="1" t="s">
        <v>30</v>
      </c>
      <c r="D186" s="1" t="s">
        <v>35</v>
      </c>
      <c r="E186" s="2">
        <v>34.020000000000003</v>
      </c>
      <c r="F186" s="3">
        <v>6.78</v>
      </c>
      <c r="G186" s="3">
        <v>24.51</v>
      </c>
      <c r="H186" s="4">
        <v>285.17</v>
      </c>
      <c r="I186" s="3">
        <v>57.92</v>
      </c>
      <c r="J186" t="s">
        <v>25</v>
      </c>
      <c r="K186" s="5">
        <v>3.8831199999999999</v>
      </c>
      <c r="L186" s="6" cm="1">
        <f t="array" ref="L186">_xlfn.PERCENTILE.INC(_xlfn._xlws.FILTER(tabla_base[Rendimiento_por_hectarea_ton], tabla_base[tipo_cultivo]=tabla_base[[#This Row],[tipo_cultivo]]), 0.75)</f>
        <v>5.1318025</v>
      </c>
      <c r="M186" s="7" t="str">
        <f>IF(tabla_base[[#This Row],[Rendimiento_por_hectarea_ton]]&gt;tabla_base[[#This Row],[percentil_0,75]],"Sí","No")</f>
        <v>No</v>
      </c>
      <c r="N186" s="3">
        <v>0.77</v>
      </c>
      <c r="O186" t="s">
        <v>20</v>
      </c>
    </row>
    <row r="187" spans="1:15" x14ac:dyDescent="0.35">
      <c r="A187" t="s">
        <v>219</v>
      </c>
      <c r="B187" s="1" t="s">
        <v>22</v>
      </c>
      <c r="C187" s="1" t="s">
        <v>30</v>
      </c>
      <c r="D187" s="1" t="s">
        <v>18</v>
      </c>
      <c r="E187" s="2">
        <v>17.78</v>
      </c>
      <c r="F187" s="3">
        <v>5.95</v>
      </c>
      <c r="G187" s="3">
        <v>32.43</v>
      </c>
      <c r="H187" s="4">
        <v>155.12</v>
      </c>
      <c r="I187" s="3">
        <v>84.34</v>
      </c>
      <c r="J187" t="s">
        <v>37</v>
      </c>
      <c r="K187" s="5">
        <v>4.5375899999999998</v>
      </c>
      <c r="L187" s="6" cm="1">
        <f t="array" ref="L187">_xlfn.PERCENTILE.INC(_xlfn._xlws.FILTER(tabla_base[Rendimiento_por_hectarea_ton], tabla_base[tipo_cultivo]=tabla_base[[#This Row],[tipo_cultivo]]), 0.75)</f>
        <v>5.2079399999999998</v>
      </c>
      <c r="M187" s="7" t="str">
        <f>IF(tabla_base[[#This Row],[Rendimiento_por_hectarea_ton]]&gt;tabla_base[[#This Row],[percentil_0,75]],"Sí","No")</f>
        <v>No</v>
      </c>
      <c r="N187" s="3">
        <v>0.8</v>
      </c>
      <c r="O187" t="s">
        <v>19</v>
      </c>
    </row>
    <row r="188" spans="1:15" x14ac:dyDescent="0.35">
      <c r="A188" t="s">
        <v>220</v>
      </c>
      <c r="B188" s="1" t="s">
        <v>39</v>
      </c>
      <c r="C188" s="1" t="s">
        <v>40</v>
      </c>
      <c r="D188" s="1" t="s">
        <v>31</v>
      </c>
      <c r="E188" s="2">
        <v>24.46</v>
      </c>
      <c r="F188" s="3">
        <v>7.24</v>
      </c>
      <c r="G188" s="3">
        <v>18.02</v>
      </c>
      <c r="H188" s="4">
        <v>298.08999999999997</v>
      </c>
      <c r="I188" s="3">
        <v>57.13</v>
      </c>
      <c r="J188" t="s">
        <v>19</v>
      </c>
      <c r="K188" s="5">
        <v>2.3232499999999998</v>
      </c>
      <c r="L188" s="6" cm="1">
        <f t="array" ref="L188">_xlfn.PERCENTILE.INC(_xlfn._xlws.FILTER(tabla_base[Rendimiento_por_hectarea_ton], tabla_base[tipo_cultivo]=tabla_base[[#This Row],[tipo_cultivo]]), 0.75)</f>
        <v>5.1742550000000005</v>
      </c>
      <c r="M188" s="7" t="str">
        <f>IF(tabla_base[[#This Row],[Rendimiento_por_hectarea_ton]]&gt;tabla_base[[#This Row],[percentil_0,75]],"Sí","No")</f>
        <v>No</v>
      </c>
      <c r="N188" s="3">
        <v>0.82</v>
      </c>
      <c r="O188" t="s">
        <v>26</v>
      </c>
    </row>
    <row r="189" spans="1:15" x14ac:dyDescent="0.35">
      <c r="A189" t="s">
        <v>221</v>
      </c>
      <c r="B189" s="1" t="s">
        <v>22</v>
      </c>
      <c r="C189" s="1" t="s">
        <v>23</v>
      </c>
      <c r="D189" s="1" t="s">
        <v>31</v>
      </c>
      <c r="E189" s="2">
        <v>17.329999999999998</v>
      </c>
      <c r="F189" s="3">
        <v>7.05</v>
      </c>
      <c r="G189" s="3">
        <v>26.53</v>
      </c>
      <c r="H189" s="4">
        <v>89.61</v>
      </c>
      <c r="I189" s="3">
        <v>79.260000000000005</v>
      </c>
      <c r="J189" t="s">
        <v>25</v>
      </c>
      <c r="K189" s="5">
        <v>5.8613100000000005</v>
      </c>
      <c r="L189" s="6" cm="1">
        <f t="array" ref="L189">_xlfn.PERCENTILE.INC(_xlfn._xlws.FILTER(tabla_base[Rendimiento_por_hectarea_ton], tabla_base[tipo_cultivo]=tabla_base[[#This Row],[tipo_cultivo]]), 0.75)</f>
        <v>5.1742550000000005</v>
      </c>
      <c r="M189" s="7" t="str">
        <f>IF(tabla_base[[#This Row],[Rendimiento_por_hectarea_ton]]&gt;tabla_base[[#This Row],[percentil_0,75]],"Sí","No")</f>
        <v>Sí</v>
      </c>
      <c r="N189" s="3">
        <v>0.74</v>
      </c>
      <c r="O189" t="s">
        <v>44</v>
      </c>
    </row>
    <row r="190" spans="1:15" x14ac:dyDescent="0.35">
      <c r="A190" t="s">
        <v>222</v>
      </c>
      <c r="B190" s="1" t="s">
        <v>22</v>
      </c>
      <c r="C190" s="1" t="s">
        <v>30</v>
      </c>
      <c r="D190" s="1" t="s">
        <v>24</v>
      </c>
      <c r="E190" s="2">
        <v>16.670000000000002</v>
      </c>
      <c r="F190" s="3">
        <v>6.85</v>
      </c>
      <c r="G190" s="3">
        <v>27.53</v>
      </c>
      <c r="H190" s="4">
        <v>112.21</v>
      </c>
      <c r="I190" s="3">
        <v>74.680000000000007</v>
      </c>
      <c r="J190" t="s">
        <v>25</v>
      </c>
      <c r="K190" s="5">
        <v>2.2611500000000002</v>
      </c>
      <c r="L190" s="6" cm="1">
        <f t="array" ref="L190">_xlfn.PERCENTILE.INC(_xlfn._xlws.FILTER(tabla_base[Rendimiento_por_hectarea_ton], tabla_base[tipo_cultivo]=tabla_base[[#This Row],[tipo_cultivo]]), 0.75)</f>
        <v>5.3984449999999997</v>
      </c>
      <c r="M190" s="7" t="str">
        <f>IF(tabla_base[[#This Row],[Rendimiento_por_hectarea_ton]]&gt;tabla_base[[#This Row],[percentil_0,75]],"Sí","No")</f>
        <v>No</v>
      </c>
      <c r="N190" s="3">
        <v>0.88</v>
      </c>
      <c r="O190" t="s">
        <v>19</v>
      </c>
    </row>
    <row r="191" spans="1:15" x14ac:dyDescent="0.35">
      <c r="A191" t="s">
        <v>223</v>
      </c>
      <c r="B191" s="1" t="s">
        <v>22</v>
      </c>
      <c r="C191" s="1" t="s">
        <v>23</v>
      </c>
      <c r="D191" s="1" t="s">
        <v>35</v>
      </c>
      <c r="E191" s="2">
        <v>22</v>
      </c>
      <c r="F191" s="3">
        <v>7.3</v>
      </c>
      <c r="G191" s="3">
        <v>22.19</v>
      </c>
      <c r="H191" s="4">
        <v>97.11</v>
      </c>
      <c r="I191" s="3">
        <v>87.4</v>
      </c>
      <c r="J191" t="s">
        <v>19</v>
      </c>
      <c r="K191" s="5">
        <v>4.9363100000000006</v>
      </c>
      <c r="L191" s="6" cm="1">
        <f t="array" ref="L191">_xlfn.PERCENTILE.INC(_xlfn._xlws.FILTER(tabla_base[Rendimiento_por_hectarea_ton], tabla_base[tipo_cultivo]=tabla_base[[#This Row],[tipo_cultivo]]), 0.75)</f>
        <v>5.1318025</v>
      </c>
      <c r="M191" s="7" t="str">
        <f>IF(tabla_base[[#This Row],[Rendimiento_por_hectarea_ton]]&gt;tabla_base[[#This Row],[percentil_0,75]],"Sí","No")</f>
        <v>No</v>
      </c>
      <c r="N191" s="3">
        <v>0.6</v>
      </c>
      <c r="O191" t="s">
        <v>19</v>
      </c>
    </row>
    <row r="192" spans="1:15" x14ac:dyDescent="0.35">
      <c r="A192" t="s">
        <v>224</v>
      </c>
      <c r="B192" s="1" t="s">
        <v>22</v>
      </c>
      <c r="C192" s="1" t="s">
        <v>23</v>
      </c>
      <c r="D192" s="1" t="s">
        <v>31</v>
      </c>
      <c r="E192" s="2">
        <v>36.99</v>
      </c>
      <c r="F192" s="3">
        <v>6.75</v>
      </c>
      <c r="G192" s="3">
        <v>26.88</v>
      </c>
      <c r="H192" s="4">
        <v>61.99</v>
      </c>
      <c r="I192" s="3">
        <v>45.41</v>
      </c>
      <c r="J192" t="s">
        <v>28</v>
      </c>
      <c r="K192" s="5">
        <v>4.1891300000000005</v>
      </c>
      <c r="L192" s="6" cm="1">
        <f t="array" ref="L192">_xlfn.PERCENTILE.INC(_xlfn._xlws.FILTER(tabla_base[Rendimiento_por_hectarea_ton], tabla_base[tipo_cultivo]=tabla_base[[#This Row],[tipo_cultivo]]), 0.75)</f>
        <v>5.1742550000000005</v>
      </c>
      <c r="M192" s="7" t="str">
        <f>IF(tabla_base[[#This Row],[Rendimiento_por_hectarea_ton]]&gt;tabla_base[[#This Row],[percentil_0,75]],"Sí","No")</f>
        <v>No</v>
      </c>
      <c r="N192" s="3">
        <v>0.38</v>
      </c>
      <c r="O192" t="s">
        <v>19</v>
      </c>
    </row>
    <row r="193" spans="1:15" x14ac:dyDescent="0.35">
      <c r="A193" t="s">
        <v>225</v>
      </c>
      <c r="B193" s="1" t="s">
        <v>22</v>
      </c>
      <c r="C193" s="1" t="s">
        <v>30</v>
      </c>
      <c r="D193" s="1" t="s">
        <v>33</v>
      </c>
      <c r="E193" s="2">
        <v>33.159999999999997</v>
      </c>
      <c r="F193" s="3">
        <v>6.82</v>
      </c>
      <c r="G193" s="3">
        <v>20.399999999999999</v>
      </c>
      <c r="H193" s="4">
        <v>201.41</v>
      </c>
      <c r="I193" s="3">
        <v>46.86</v>
      </c>
      <c r="J193" t="s">
        <v>28</v>
      </c>
      <c r="K193" s="5">
        <v>5.1390399999999996</v>
      </c>
      <c r="L193" s="6" cm="1">
        <f t="array" ref="L193">_xlfn.PERCENTILE.INC(_xlfn._xlws.FILTER(tabla_base[Rendimiento_por_hectarea_ton], tabla_base[tipo_cultivo]=tabla_base[[#This Row],[tipo_cultivo]]), 0.75)</f>
        <v>5.1635450000000001</v>
      </c>
      <c r="M193" s="7" t="str">
        <f>IF(tabla_base[[#This Row],[Rendimiento_por_hectarea_ton]]&gt;tabla_base[[#This Row],[percentil_0,75]],"Sí","No")</f>
        <v>No</v>
      </c>
      <c r="N193" s="3">
        <v>0.36</v>
      </c>
      <c r="O193" t="s">
        <v>20</v>
      </c>
    </row>
    <row r="194" spans="1:15" x14ac:dyDescent="0.35">
      <c r="A194" t="s">
        <v>226</v>
      </c>
      <c r="B194" s="1" t="s">
        <v>22</v>
      </c>
      <c r="C194" s="1" t="s">
        <v>30</v>
      </c>
      <c r="D194" s="1" t="s">
        <v>33</v>
      </c>
      <c r="E194" s="2">
        <v>20.34</v>
      </c>
      <c r="F194" s="3">
        <v>5.58</v>
      </c>
      <c r="G194" s="3">
        <v>24.93</v>
      </c>
      <c r="H194" s="4">
        <v>101.92</v>
      </c>
      <c r="I194" s="3">
        <v>86.66</v>
      </c>
      <c r="J194" t="s">
        <v>28</v>
      </c>
      <c r="K194" s="5">
        <v>4.6760900000000003</v>
      </c>
      <c r="L194" s="6" cm="1">
        <f t="array" ref="L194">_xlfn.PERCENTILE.INC(_xlfn._xlws.FILTER(tabla_base[Rendimiento_por_hectarea_ton], tabla_base[tipo_cultivo]=tabla_base[[#This Row],[tipo_cultivo]]), 0.75)</f>
        <v>5.1635450000000001</v>
      </c>
      <c r="M194" s="7" t="str">
        <f>IF(tabla_base[[#This Row],[Rendimiento_por_hectarea_ton]]&gt;tabla_base[[#This Row],[percentil_0,75]],"Sí","No")</f>
        <v>No</v>
      </c>
      <c r="N194" s="3">
        <v>0.3</v>
      </c>
      <c r="O194" t="s">
        <v>44</v>
      </c>
    </row>
    <row r="195" spans="1:15" x14ac:dyDescent="0.35">
      <c r="A195" t="s">
        <v>227</v>
      </c>
      <c r="B195" s="1" t="s">
        <v>22</v>
      </c>
      <c r="C195" s="1" t="s">
        <v>30</v>
      </c>
      <c r="D195" s="1" t="s">
        <v>35</v>
      </c>
      <c r="E195" s="2">
        <v>25.99</v>
      </c>
      <c r="F195" s="3">
        <v>7.45</v>
      </c>
      <c r="G195" s="3">
        <v>20.28</v>
      </c>
      <c r="H195" s="4">
        <v>62.52</v>
      </c>
      <c r="I195" s="3">
        <v>80.66</v>
      </c>
      <c r="J195" t="s">
        <v>37</v>
      </c>
      <c r="K195" s="5">
        <v>2.4636</v>
      </c>
      <c r="L195" s="6" cm="1">
        <f t="array" ref="L195">_xlfn.PERCENTILE.INC(_xlfn._xlws.FILTER(tabla_base[Rendimiento_por_hectarea_ton], tabla_base[tipo_cultivo]=tabla_base[[#This Row],[tipo_cultivo]]), 0.75)</f>
        <v>5.1318025</v>
      </c>
      <c r="M195" s="7" t="str">
        <f>IF(tabla_base[[#This Row],[Rendimiento_por_hectarea_ton]]&gt;tabla_base[[#This Row],[percentil_0,75]],"Sí","No")</f>
        <v>No</v>
      </c>
      <c r="N195" s="3">
        <v>0.41</v>
      </c>
      <c r="O195" t="s">
        <v>20</v>
      </c>
    </row>
    <row r="196" spans="1:15" x14ac:dyDescent="0.35">
      <c r="A196" t="s">
        <v>228</v>
      </c>
      <c r="B196" s="1" t="s">
        <v>22</v>
      </c>
      <c r="C196" s="1" t="s">
        <v>30</v>
      </c>
      <c r="D196" s="1" t="s">
        <v>33</v>
      </c>
      <c r="E196" s="2">
        <v>43.43</v>
      </c>
      <c r="F196" s="3">
        <v>6.04</v>
      </c>
      <c r="G196" s="3">
        <v>29.66</v>
      </c>
      <c r="H196" s="4">
        <v>143.16</v>
      </c>
      <c r="I196" s="3">
        <v>57.14</v>
      </c>
      <c r="J196" t="s">
        <v>19</v>
      </c>
      <c r="K196" s="5">
        <v>3.9129800000000001</v>
      </c>
      <c r="L196" s="6" cm="1">
        <f t="array" ref="L196">_xlfn.PERCENTILE.INC(_xlfn._xlws.FILTER(tabla_base[Rendimiento_por_hectarea_ton], tabla_base[tipo_cultivo]=tabla_base[[#This Row],[tipo_cultivo]]), 0.75)</f>
        <v>5.1635450000000001</v>
      </c>
      <c r="M196" s="7" t="str">
        <f>IF(tabla_base[[#This Row],[Rendimiento_por_hectarea_ton]]&gt;tabla_base[[#This Row],[percentil_0,75]],"Sí","No")</f>
        <v>No</v>
      </c>
      <c r="N196" s="3">
        <v>0.82</v>
      </c>
      <c r="O196" t="s">
        <v>19</v>
      </c>
    </row>
    <row r="197" spans="1:15" x14ac:dyDescent="0.35">
      <c r="A197" t="s">
        <v>229</v>
      </c>
      <c r="B197" s="1" t="s">
        <v>16</v>
      </c>
      <c r="C197" s="1" t="s">
        <v>23</v>
      </c>
      <c r="D197" s="1" t="s">
        <v>18</v>
      </c>
      <c r="E197" s="2">
        <v>24.56</v>
      </c>
      <c r="F197" s="3">
        <v>6.68</v>
      </c>
      <c r="G197" s="3">
        <v>31.05</v>
      </c>
      <c r="H197" s="4">
        <v>219.6</v>
      </c>
      <c r="I197" s="3">
        <v>49.06</v>
      </c>
      <c r="J197" t="s">
        <v>37</v>
      </c>
      <c r="K197" s="5">
        <v>5.8937799999999996</v>
      </c>
      <c r="L197" s="6" cm="1">
        <f t="array" ref="L197">_xlfn.PERCENTILE.INC(_xlfn._xlws.FILTER(tabla_base[Rendimiento_por_hectarea_ton], tabla_base[tipo_cultivo]=tabla_base[[#This Row],[tipo_cultivo]]), 0.75)</f>
        <v>5.2079399999999998</v>
      </c>
      <c r="M197" s="7" t="str">
        <f>IF(tabla_base[[#This Row],[Rendimiento_por_hectarea_ton]]&gt;tabla_base[[#This Row],[percentil_0,75]],"Sí","No")</f>
        <v>Sí</v>
      </c>
      <c r="N197" s="3">
        <v>0.4</v>
      </c>
      <c r="O197" t="s">
        <v>19</v>
      </c>
    </row>
    <row r="198" spans="1:15" x14ac:dyDescent="0.35">
      <c r="A198" t="s">
        <v>230</v>
      </c>
      <c r="B198" s="1" t="s">
        <v>16</v>
      </c>
      <c r="C198" s="1" t="s">
        <v>17</v>
      </c>
      <c r="D198" s="1" t="s">
        <v>18</v>
      </c>
      <c r="E198" s="2">
        <v>19.16</v>
      </c>
      <c r="F198" s="3">
        <v>6.13</v>
      </c>
      <c r="G198" s="3">
        <v>29.09</v>
      </c>
      <c r="H198" s="4">
        <v>219.48</v>
      </c>
      <c r="I198" s="3">
        <v>78.38</v>
      </c>
      <c r="J198" t="s">
        <v>25</v>
      </c>
      <c r="K198" s="5">
        <v>4.8023199999999999</v>
      </c>
      <c r="L198" s="6" cm="1">
        <f t="array" ref="L198">_xlfn.PERCENTILE.INC(_xlfn._xlws.FILTER(tabla_base[Rendimiento_por_hectarea_ton], tabla_base[tipo_cultivo]=tabla_base[[#This Row],[tipo_cultivo]]), 0.75)</f>
        <v>5.2079399999999998</v>
      </c>
      <c r="M198" s="7" t="str">
        <f>IF(tabla_base[[#This Row],[Rendimiento_por_hectarea_ton]]&gt;tabla_base[[#This Row],[percentil_0,75]],"Sí","No")</f>
        <v>No</v>
      </c>
      <c r="N198" s="3">
        <v>0.62</v>
      </c>
      <c r="O198" t="s">
        <v>19</v>
      </c>
    </row>
    <row r="199" spans="1:15" x14ac:dyDescent="0.35">
      <c r="A199" t="s">
        <v>231</v>
      </c>
      <c r="B199" s="1" t="s">
        <v>16</v>
      </c>
      <c r="C199" s="1" t="s">
        <v>23</v>
      </c>
      <c r="D199" s="1" t="s">
        <v>24</v>
      </c>
      <c r="E199" s="2">
        <v>41.22</v>
      </c>
      <c r="F199" s="3">
        <v>6.73</v>
      </c>
      <c r="G199" s="3">
        <v>15.23</v>
      </c>
      <c r="H199" s="4">
        <v>283.58999999999997</v>
      </c>
      <c r="I199" s="3">
        <v>65.28</v>
      </c>
      <c r="J199" t="s">
        <v>19</v>
      </c>
      <c r="K199" s="5">
        <v>3.3235799999999998</v>
      </c>
      <c r="L199" s="6" cm="1">
        <f t="array" ref="L199">_xlfn.PERCENTILE.INC(_xlfn._xlws.FILTER(tabla_base[Rendimiento_por_hectarea_ton], tabla_base[tipo_cultivo]=tabla_base[[#This Row],[tipo_cultivo]]), 0.75)</f>
        <v>5.3984449999999997</v>
      </c>
      <c r="M199" s="7" t="str">
        <f>IF(tabla_base[[#This Row],[Rendimiento_por_hectarea_ton]]&gt;tabla_base[[#This Row],[percentil_0,75]],"Sí","No")</f>
        <v>No</v>
      </c>
      <c r="N199" s="3">
        <v>0.31</v>
      </c>
      <c r="O199" t="s">
        <v>26</v>
      </c>
    </row>
    <row r="200" spans="1:15" x14ac:dyDescent="0.35">
      <c r="A200" t="s">
        <v>232</v>
      </c>
      <c r="B200" s="1" t="s">
        <v>16</v>
      </c>
      <c r="C200" s="1" t="s">
        <v>23</v>
      </c>
      <c r="D200" s="1" t="s">
        <v>18</v>
      </c>
      <c r="E200" s="2">
        <v>26.07</v>
      </c>
      <c r="F200" s="3">
        <v>7.1</v>
      </c>
      <c r="G200" s="3">
        <v>23.96</v>
      </c>
      <c r="H200" s="4">
        <v>264.14999999999998</v>
      </c>
      <c r="I200" s="3">
        <v>62.35</v>
      </c>
      <c r="J200" t="s">
        <v>19</v>
      </c>
      <c r="K200" s="5">
        <v>2.1433299999999997</v>
      </c>
      <c r="L200" s="6" cm="1">
        <f t="array" ref="L200">_xlfn.PERCENTILE.INC(_xlfn._xlws.FILTER(tabla_base[Rendimiento_por_hectarea_ton], tabla_base[tipo_cultivo]=tabla_base[[#This Row],[tipo_cultivo]]), 0.75)</f>
        <v>5.2079399999999998</v>
      </c>
      <c r="M200" s="7" t="str">
        <f>IF(tabla_base[[#This Row],[Rendimiento_por_hectarea_ton]]&gt;tabla_base[[#This Row],[percentil_0,75]],"Sí","No")</f>
        <v>No</v>
      </c>
      <c r="N200" s="3">
        <v>0.83</v>
      </c>
      <c r="O200" t="s">
        <v>26</v>
      </c>
    </row>
    <row r="201" spans="1:15" x14ac:dyDescent="0.35">
      <c r="A201" t="s">
        <v>233</v>
      </c>
      <c r="B201" s="1" t="s">
        <v>39</v>
      </c>
      <c r="C201" s="1" t="s">
        <v>40</v>
      </c>
      <c r="D201" s="1" t="s">
        <v>24</v>
      </c>
      <c r="E201" s="2">
        <v>17.239999999999998</v>
      </c>
      <c r="F201" s="3">
        <v>6.84</v>
      </c>
      <c r="G201" s="3">
        <v>34.01</v>
      </c>
      <c r="H201" s="4">
        <v>140.84</v>
      </c>
      <c r="I201" s="3">
        <v>42.71</v>
      </c>
      <c r="J201" t="s">
        <v>19</v>
      </c>
      <c r="K201" s="5">
        <v>4.8666299999999998</v>
      </c>
      <c r="L201" s="6" cm="1">
        <f t="array" ref="L201">_xlfn.PERCENTILE.INC(_xlfn._xlws.FILTER(tabla_base[Rendimiento_por_hectarea_ton], tabla_base[tipo_cultivo]=tabla_base[[#This Row],[tipo_cultivo]]), 0.75)</f>
        <v>5.3984449999999997</v>
      </c>
      <c r="M201" s="7" t="str">
        <f>IF(tabla_base[[#This Row],[Rendimiento_por_hectarea_ton]]&gt;tabla_base[[#This Row],[percentil_0,75]],"Sí","No")</f>
        <v>No</v>
      </c>
      <c r="N201" s="3">
        <v>0.44</v>
      </c>
      <c r="O201" t="s">
        <v>44</v>
      </c>
    </row>
    <row r="202" spans="1:15" x14ac:dyDescent="0.35">
      <c r="A202" t="s">
        <v>234</v>
      </c>
      <c r="B202" s="1" t="s">
        <v>16</v>
      </c>
      <c r="C202" s="1" t="s">
        <v>17</v>
      </c>
      <c r="D202" s="1" t="s">
        <v>31</v>
      </c>
      <c r="E202" s="2">
        <v>22.43</v>
      </c>
      <c r="F202" s="3">
        <v>6.77</v>
      </c>
      <c r="G202" s="3">
        <v>31</v>
      </c>
      <c r="H202" s="4">
        <v>186.92</v>
      </c>
      <c r="I202" s="3">
        <v>58.69</v>
      </c>
      <c r="J202" t="s">
        <v>25</v>
      </c>
      <c r="K202" s="5">
        <v>3.6368400000000003</v>
      </c>
      <c r="L202" s="6" cm="1">
        <f t="array" ref="L202">_xlfn.PERCENTILE.INC(_xlfn._xlws.FILTER(tabla_base[Rendimiento_por_hectarea_ton], tabla_base[tipo_cultivo]=tabla_base[[#This Row],[tipo_cultivo]]), 0.75)</f>
        <v>5.1742550000000005</v>
      </c>
      <c r="M202" s="7" t="str">
        <f>IF(tabla_base[[#This Row],[Rendimiento_por_hectarea_ton]]&gt;tabla_base[[#This Row],[percentil_0,75]],"Sí","No")</f>
        <v>No</v>
      </c>
      <c r="N202" s="3">
        <v>0.44</v>
      </c>
      <c r="O202" t="s">
        <v>19</v>
      </c>
    </row>
    <row r="203" spans="1:15" x14ac:dyDescent="0.35">
      <c r="A203" t="s">
        <v>235</v>
      </c>
      <c r="B203" s="1" t="s">
        <v>16</v>
      </c>
      <c r="C203" s="1" t="s">
        <v>23</v>
      </c>
      <c r="D203" s="1" t="s">
        <v>33</v>
      </c>
      <c r="E203" s="2">
        <v>38.86</v>
      </c>
      <c r="F203" s="3">
        <v>5.88</v>
      </c>
      <c r="G203" s="3">
        <v>21.76</v>
      </c>
      <c r="H203" s="4">
        <v>239.29</v>
      </c>
      <c r="I203" s="3">
        <v>42.33</v>
      </c>
      <c r="J203" t="s">
        <v>28</v>
      </c>
      <c r="K203" s="5">
        <v>5.8554200000000005</v>
      </c>
      <c r="L203" s="6" cm="1">
        <f t="array" ref="L203">_xlfn.PERCENTILE.INC(_xlfn._xlws.FILTER(tabla_base[Rendimiento_por_hectarea_ton], tabla_base[tipo_cultivo]=tabla_base[[#This Row],[tipo_cultivo]]), 0.75)</f>
        <v>5.1635450000000001</v>
      </c>
      <c r="M203" s="7" t="str">
        <f>IF(tabla_base[[#This Row],[Rendimiento_por_hectarea_ton]]&gt;tabla_base[[#This Row],[percentil_0,75]],"Sí","No")</f>
        <v>Sí</v>
      </c>
      <c r="N203" s="3">
        <v>0.6</v>
      </c>
      <c r="O203" t="s">
        <v>44</v>
      </c>
    </row>
    <row r="204" spans="1:15" x14ac:dyDescent="0.35">
      <c r="A204" t="s">
        <v>236</v>
      </c>
      <c r="B204" s="1" t="s">
        <v>39</v>
      </c>
      <c r="C204" s="1" t="s">
        <v>40</v>
      </c>
      <c r="D204" s="1" t="s">
        <v>35</v>
      </c>
      <c r="E204" s="2">
        <v>34.21</v>
      </c>
      <c r="F204" s="3">
        <v>5.85</v>
      </c>
      <c r="G204" s="3">
        <v>31.3</v>
      </c>
      <c r="H204" s="4">
        <v>75.89</v>
      </c>
      <c r="I204" s="3">
        <v>72.88</v>
      </c>
      <c r="J204" t="s">
        <v>37</v>
      </c>
      <c r="K204" s="5">
        <v>4.77006</v>
      </c>
      <c r="L204" s="6" cm="1">
        <f t="array" ref="L204">_xlfn.PERCENTILE.INC(_xlfn._xlws.FILTER(tabla_base[Rendimiento_por_hectarea_ton], tabla_base[tipo_cultivo]=tabla_base[[#This Row],[tipo_cultivo]]), 0.75)</f>
        <v>5.1318025</v>
      </c>
      <c r="M204" s="7" t="str">
        <f>IF(tabla_base[[#This Row],[Rendimiento_por_hectarea_ton]]&gt;tabla_base[[#This Row],[percentil_0,75]],"Sí","No")</f>
        <v>No</v>
      </c>
      <c r="N204" s="3">
        <v>0.63</v>
      </c>
      <c r="O204" t="s">
        <v>26</v>
      </c>
    </row>
    <row r="205" spans="1:15" x14ac:dyDescent="0.35">
      <c r="A205" t="s">
        <v>237</v>
      </c>
      <c r="B205" s="1" t="s">
        <v>16</v>
      </c>
      <c r="C205" s="1" t="s">
        <v>23</v>
      </c>
      <c r="D205" s="1" t="s">
        <v>35</v>
      </c>
      <c r="E205" s="2">
        <v>24.45</v>
      </c>
      <c r="F205" s="3">
        <v>6.9</v>
      </c>
      <c r="G205" s="3">
        <v>29.97</v>
      </c>
      <c r="H205" s="4">
        <v>124.73</v>
      </c>
      <c r="I205" s="3">
        <v>75.069999999999993</v>
      </c>
      <c r="J205" t="s">
        <v>25</v>
      </c>
      <c r="K205" s="5">
        <v>3.38117</v>
      </c>
      <c r="L205" s="6" cm="1">
        <f t="array" ref="L205">_xlfn.PERCENTILE.INC(_xlfn._xlws.FILTER(tabla_base[Rendimiento_por_hectarea_ton], tabla_base[tipo_cultivo]=tabla_base[[#This Row],[tipo_cultivo]]), 0.75)</f>
        <v>5.1318025</v>
      </c>
      <c r="M205" s="7" t="str">
        <f>IF(tabla_base[[#This Row],[Rendimiento_por_hectarea_ton]]&gt;tabla_base[[#This Row],[percentil_0,75]],"Sí","No")</f>
        <v>No</v>
      </c>
      <c r="N205" s="3">
        <v>0.38</v>
      </c>
      <c r="O205" t="s">
        <v>19</v>
      </c>
    </row>
    <row r="206" spans="1:15" x14ac:dyDescent="0.35">
      <c r="A206" t="s">
        <v>238</v>
      </c>
      <c r="B206" s="1" t="s">
        <v>16</v>
      </c>
      <c r="C206" s="1" t="s">
        <v>17</v>
      </c>
      <c r="D206" s="1" t="s">
        <v>31</v>
      </c>
      <c r="E206" s="2">
        <v>29.68</v>
      </c>
      <c r="F206" s="3">
        <v>6.67</v>
      </c>
      <c r="G206" s="3">
        <v>33.85</v>
      </c>
      <c r="H206" s="4">
        <v>227.53</v>
      </c>
      <c r="I206" s="3">
        <v>73.709999999999994</v>
      </c>
      <c r="J206" t="s">
        <v>37</v>
      </c>
      <c r="K206" s="5">
        <v>3.5234800000000002</v>
      </c>
      <c r="L206" s="6" cm="1">
        <f t="array" ref="L206">_xlfn.PERCENTILE.INC(_xlfn._xlws.FILTER(tabla_base[Rendimiento_por_hectarea_ton], tabla_base[tipo_cultivo]=tabla_base[[#This Row],[tipo_cultivo]]), 0.75)</f>
        <v>5.1742550000000005</v>
      </c>
      <c r="M206" s="7" t="str">
        <f>IF(tabla_base[[#This Row],[Rendimiento_por_hectarea_ton]]&gt;tabla_base[[#This Row],[percentil_0,75]],"Sí","No")</f>
        <v>No</v>
      </c>
      <c r="N206" s="3">
        <v>0.53</v>
      </c>
      <c r="O206" t="s">
        <v>19</v>
      </c>
    </row>
    <row r="207" spans="1:15" x14ac:dyDescent="0.35">
      <c r="A207" t="s">
        <v>239</v>
      </c>
      <c r="B207" s="1" t="s">
        <v>22</v>
      </c>
      <c r="C207" s="1" t="s">
        <v>30</v>
      </c>
      <c r="D207" s="1" t="s">
        <v>31</v>
      </c>
      <c r="E207" s="2">
        <v>15.12</v>
      </c>
      <c r="F207" s="3">
        <v>5.62</v>
      </c>
      <c r="G207" s="3">
        <v>30.69</v>
      </c>
      <c r="H207" s="4">
        <v>101</v>
      </c>
      <c r="I207" s="3">
        <v>67.06</v>
      </c>
      <c r="J207" t="s">
        <v>19</v>
      </c>
      <c r="K207" s="5">
        <v>5.4593699999999998</v>
      </c>
      <c r="L207" s="6" cm="1">
        <f t="array" ref="L207">_xlfn.PERCENTILE.INC(_xlfn._xlws.FILTER(tabla_base[Rendimiento_por_hectarea_ton], tabla_base[tipo_cultivo]=tabla_base[[#This Row],[tipo_cultivo]]), 0.75)</f>
        <v>5.1742550000000005</v>
      </c>
      <c r="M207" s="7" t="str">
        <f>IF(tabla_base[[#This Row],[Rendimiento_por_hectarea_ton]]&gt;tabla_base[[#This Row],[percentil_0,75]],"Sí","No")</f>
        <v>Sí</v>
      </c>
      <c r="N207" s="3">
        <v>0.89</v>
      </c>
      <c r="O207" t="s">
        <v>26</v>
      </c>
    </row>
    <row r="208" spans="1:15" x14ac:dyDescent="0.35">
      <c r="A208" t="s">
        <v>240</v>
      </c>
      <c r="B208" s="1" t="s">
        <v>16</v>
      </c>
      <c r="C208" s="1" t="s">
        <v>17</v>
      </c>
      <c r="D208" s="1" t="s">
        <v>33</v>
      </c>
      <c r="E208" s="2">
        <v>23.56</v>
      </c>
      <c r="F208" s="3">
        <v>7.41</v>
      </c>
      <c r="G208" s="3">
        <v>34.520000000000003</v>
      </c>
      <c r="H208" s="4">
        <v>128.16</v>
      </c>
      <c r="I208" s="3">
        <v>67.61</v>
      </c>
      <c r="J208" t="s">
        <v>37</v>
      </c>
      <c r="K208" s="5">
        <v>5.64595</v>
      </c>
      <c r="L208" s="6" cm="1">
        <f t="array" ref="L208">_xlfn.PERCENTILE.INC(_xlfn._xlws.FILTER(tabla_base[Rendimiento_por_hectarea_ton], tabla_base[tipo_cultivo]=tabla_base[[#This Row],[tipo_cultivo]]), 0.75)</f>
        <v>5.1635450000000001</v>
      </c>
      <c r="M208" s="7" t="str">
        <f>IF(tabla_base[[#This Row],[Rendimiento_por_hectarea_ton]]&gt;tabla_base[[#This Row],[percentil_0,75]],"Sí","No")</f>
        <v>Sí</v>
      </c>
      <c r="N208" s="3">
        <v>0.76</v>
      </c>
      <c r="O208" t="s">
        <v>44</v>
      </c>
    </row>
    <row r="209" spans="1:15" x14ac:dyDescent="0.35">
      <c r="A209" t="s">
        <v>241</v>
      </c>
      <c r="B209" s="1" t="s">
        <v>16</v>
      </c>
      <c r="C209" s="1" t="s">
        <v>23</v>
      </c>
      <c r="D209" s="1" t="s">
        <v>31</v>
      </c>
      <c r="E209" s="2">
        <v>25.71</v>
      </c>
      <c r="F209" s="3">
        <v>7.47</v>
      </c>
      <c r="G209" s="3">
        <v>16.489999999999998</v>
      </c>
      <c r="H209" s="4">
        <v>290.62</v>
      </c>
      <c r="I209" s="3">
        <v>76.75</v>
      </c>
      <c r="J209" t="s">
        <v>28</v>
      </c>
      <c r="K209" s="5">
        <v>4.3359399999999999</v>
      </c>
      <c r="L209" s="6" cm="1">
        <f t="array" ref="L209">_xlfn.PERCENTILE.INC(_xlfn._xlws.FILTER(tabla_base[Rendimiento_por_hectarea_ton], tabla_base[tipo_cultivo]=tabla_base[[#This Row],[tipo_cultivo]]), 0.75)</f>
        <v>5.1742550000000005</v>
      </c>
      <c r="M209" s="7" t="str">
        <f>IF(tabla_base[[#This Row],[Rendimiento_por_hectarea_ton]]&gt;tabla_base[[#This Row],[percentil_0,75]],"Sí","No")</f>
        <v>No</v>
      </c>
      <c r="N209" s="3">
        <v>0.73</v>
      </c>
      <c r="O209" t="s">
        <v>19</v>
      </c>
    </row>
    <row r="210" spans="1:15" x14ac:dyDescent="0.35">
      <c r="A210" t="s">
        <v>242</v>
      </c>
      <c r="B210" s="1" t="s">
        <v>16</v>
      </c>
      <c r="C210" s="1" t="s">
        <v>23</v>
      </c>
      <c r="D210" s="1" t="s">
        <v>31</v>
      </c>
      <c r="E210" s="2">
        <v>30.89</v>
      </c>
      <c r="F210" s="3">
        <v>7.05</v>
      </c>
      <c r="G210" s="3">
        <v>27.51</v>
      </c>
      <c r="H210" s="4">
        <v>260.77999999999997</v>
      </c>
      <c r="I210" s="3">
        <v>55.06</v>
      </c>
      <c r="J210" t="s">
        <v>37</v>
      </c>
      <c r="K210" s="5">
        <v>5.8279499999999995</v>
      </c>
      <c r="L210" s="6" cm="1">
        <f t="array" ref="L210">_xlfn.PERCENTILE.INC(_xlfn._xlws.FILTER(tabla_base[Rendimiento_por_hectarea_ton], tabla_base[tipo_cultivo]=tabla_base[[#This Row],[tipo_cultivo]]), 0.75)</f>
        <v>5.1742550000000005</v>
      </c>
      <c r="M210" s="7" t="str">
        <f>IF(tabla_base[[#This Row],[Rendimiento_por_hectarea_ton]]&gt;tabla_base[[#This Row],[percentil_0,75]],"Sí","No")</f>
        <v>Sí</v>
      </c>
      <c r="N210" s="3">
        <v>0.69</v>
      </c>
      <c r="O210" t="s">
        <v>20</v>
      </c>
    </row>
    <row r="211" spans="1:15" x14ac:dyDescent="0.35">
      <c r="A211" t="s">
        <v>243</v>
      </c>
      <c r="B211" s="1" t="s">
        <v>16</v>
      </c>
      <c r="C211" s="1" t="s">
        <v>17</v>
      </c>
      <c r="D211" s="1" t="s">
        <v>31</v>
      </c>
      <c r="E211" s="2">
        <v>17.739999999999998</v>
      </c>
      <c r="F211" s="3">
        <v>5.93</v>
      </c>
      <c r="G211" s="3">
        <v>21.64</v>
      </c>
      <c r="H211" s="4">
        <v>140.19999999999999</v>
      </c>
      <c r="I211" s="3">
        <v>50.92</v>
      </c>
      <c r="J211" t="s">
        <v>19</v>
      </c>
      <c r="K211" s="5">
        <v>4.6757499999999999</v>
      </c>
      <c r="L211" s="6" cm="1">
        <f t="array" ref="L211">_xlfn.PERCENTILE.INC(_xlfn._xlws.FILTER(tabla_base[Rendimiento_por_hectarea_ton], tabla_base[tipo_cultivo]=tabla_base[[#This Row],[tipo_cultivo]]), 0.75)</f>
        <v>5.1742550000000005</v>
      </c>
      <c r="M211" s="7" t="str">
        <f>IF(tabla_base[[#This Row],[Rendimiento_por_hectarea_ton]]&gt;tabla_base[[#This Row],[percentil_0,75]],"Sí","No")</f>
        <v>No</v>
      </c>
      <c r="N211" s="3">
        <v>0.57999999999999996</v>
      </c>
      <c r="O211" t="s">
        <v>44</v>
      </c>
    </row>
    <row r="212" spans="1:15" x14ac:dyDescent="0.35">
      <c r="A212" t="s">
        <v>244</v>
      </c>
      <c r="B212" s="1" t="s">
        <v>16</v>
      </c>
      <c r="C212" s="1" t="s">
        <v>17</v>
      </c>
      <c r="D212" s="1" t="s">
        <v>31</v>
      </c>
      <c r="E212" s="2">
        <v>23.35</v>
      </c>
      <c r="F212" s="3">
        <v>7.09</v>
      </c>
      <c r="G212" s="3">
        <v>17.27</v>
      </c>
      <c r="H212" s="4">
        <v>114.15</v>
      </c>
      <c r="I212" s="3">
        <v>76.2</v>
      </c>
      <c r="J212" t="s">
        <v>37</v>
      </c>
      <c r="K212" s="5">
        <v>3.1857399999999996</v>
      </c>
      <c r="L212" s="6" cm="1">
        <f t="array" ref="L212">_xlfn.PERCENTILE.INC(_xlfn._xlws.FILTER(tabla_base[Rendimiento_por_hectarea_ton], tabla_base[tipo_cultivo]=tabla_base[[#This Row],[tipo_cultivo]]), 0.75)</f>
        <v>5.1742550000000005</v>
      </c>
      <c r="M212" s="7" t="str">
        <f>IF(tabla_base[[#This Row],[Rendimiento_por_hectarea_ton]]&gt;tabla_base[[#This Row],[percentil_0,75]],"Sí","No")</f>
        <v>No</v>
      </c>
      <c r="N212" s="3">
        <v>0.62</v>
      </c>
      <c r="O212" t="s">
        <v>19</v>
      </c>
    </row>
    <row r="213" spans="1:15" x14ac:dyDescent="0.35">
      <c r="A213" t="s">
        <v>245</v>
      </c>
      <c r="B213" s="1" t="s">
        <v>39</v>
      </c>
      <c r="C213" s="1" t="s">
        <v>40</v>
      </c>
      <c r="D213" s="1" t="s">
        <v>24</v>
      </c>
      <c r="E213" s="2">
        <v>10.26</v>
      </c>
      <c r="F213" s="3">
        <v>5.63</v>
      </c>
      <c r="G213" s="3">
        <v>28.41</v>
      </c>
      <c r="H213" s="4">
        <v>243.4</v>
      </c>
      <c r="I213" s="3">
        <v>83.25</v>
      </c>
      <c r="J213" t="s">
        <v>28</v>
      </c>
      <c r="K213" s="5">
        <v>3.7409499999999998</v>
      </c>
      <c r="L213" s="6" cm="1">
        <f t="array" ref="L213">_xlfn.PERCENTILE.INC(_xlfn._xlws.FILTER(tabla_base[Rendimiento_por_hectarea_ton], tabla_base[tipo_cultivo]=tabla_base[[#This Row],[tipo_cultivo]]), 0.75)</f>
        <v>5.3984449999999997</v>
      </c>
      <c r="M213" s="7" t="str">
        <f>IF(tabla_base[[#This Row],[Rendimiento_por_hectarea_ton]]&gt;tabla_base[[#This Row],[percentil_0,75]],"Sí","No")</f>
        <v>No</v>
      </c>
      <c r="N213" s="3">
        <v>0.39</v>
      </c>
      <c r="O213" t="s">
        <v>19</v>
      </c>
    </row>
    <row r="214" spans="1:15" x14ac:dyDescent="0.35">
      <c r="A214" t="s">
        <v>246</v>
      </c>
      <c r="B214" s="1" t="s">
        <v>16</v>
      </c>
      <c r="C214" s="1" t="s">
        <v>17</v>
      </c>
      <c r="D214" s="1" t="s">
        <v>18</v>
      </c>
      <c r="E214" s="2">
        <v>12.56</v>
      </c>
      <c r="F214" s="3">
        <v>5.86</v>
      </c>
      <c r="G214" s="3">
        <v>20.04</v>
      </c>
      <c r="H214" s="4">
        <v>67.61</v>
      </c>
      <c r="I214" s="3">
        <v>81.08</v>
      </c>
      <c r="J214" t="s">
        <v>19</v>
      </c>
      <c r="K214" s="5">
        <v>2.0675599999999998</v>
      </c>
      <c r="L214" s="6" cm="1">
        <f t="array" ref="L214">_xlfn.PERCENTILE.INC(_xlfn._xlws.FILTER(tabla_base[Rendimiento_por_hectarea_ton], tabla_base[tipo_cultivo]=tabla_base[[#This Row],[tipo_cultivo]]), 0.75)</f>
        <v>5.2079399999999998</v>
      </c>
      <c r="M214" s="7" t="str">
        <f>IF(tabla_base[[#This Row],[Rendimiento_por_hectarea_ton]]&gt;tabla_base[[#This Row],[percentil_0,75]],"Sí","No")</f>
        <v>No</v>
      </c>
      <c r="N214" s="3">
        <v>0.33</v>
      </c>
      <c r="O214" t="s">
        <v>26</v>
      </c>
    </row>
    <row r="215" spans="1:15" x14ac:dyDescent="0.35">
      <c r="A215" t="s">
        <v>247</v>
      </c>
      <c r="B215" s="1" t="s">
        <v>39</v>
      </c>
      <c r="C215" s="1" t="s">
        <v>40</v>
      </c>
      <c r="D215" s="1" t="s">
        <v>18</v>
      </c>
      <c r="E215" s="2">
        <v>34.53</v>
      </c>
      <c r="F215" s="3">
        <v>5.65</v>
      </c>
      <c r="G215" s="3">
        <v>33.56</v>
      </c>
      <c r="H215" s="4">
        <v>76.53</v>
      </c>
      <c r="I215" s="3">
        <v>79.34</v>
      </c>
      <c r="J215" t="s">
        <v>28</v>
      </c>
      <c r="K215" s="5">
        <v>5.2884899999999995</v>
      </c>
      <c r="L215" s="6" cm="1">
        <f t="array" ref="L215">_xlfn.PERCENTILE.INC(_xlfn._xlws.FILTER(tabla_base[Rendimiento_por_hectarea_ton], tabla_base[tipo_cultivo]=tabla_base[[#This Row],[tipo_cultivo]]), 0.75)</f>
        <v>5.2079399999999998</v>
      </c>
      <c r="M215" s="7" t="str">
        <f>IF(tabla_base[[#This Row],[Rendimiento_por_hectarea_ton]]&gt;tabla_base[[#This Row],[percentil_0,75]],"Sí","No")</f>
        <v>Sí</v>
      </c>
      <c r="N215" s="3">
        <v>0.84</v>
      </c>
      <c r="O215" t="s">
        <v>26</v>
      </c>
    </row>
    <row r="216" spans="1:15" x14ac:dyDescent="0.35">
      <c r="A216" t="s">
        <v>248</v>
      </c>
      <c r="B216" s="1" t="s">
        <v>39</v>
      </c>
      <c r="C216" s="1" t="s">
        <v>40</v>
      </c>
      <c r="D216" s="1" t="s">
        <v>31</v>
      </c>
      <c r="E216" s="2">
        <v>43.6</v>
      </c>
      <c r="F216" s="3">
        <v>5.79</v>
      </c>
      <c r="G216" s="3">
        <v>28.55</v>
      </c>
      <c r="H216" s="4">
        <v>278.54000000000002</v>
      </c>
      <c r="I216" s="3">
        <v>79.75</v>
      </c>
      <c r="J216" t="s">
        <v>37</v>
      </c>
      <c r="K216" s="5">
        <v>2.16709</v>
      </c>
      <c r="L216" s="6" cm="1">
        <f t="array" ref="L216">_xlfn.PERCENTILE.INC(_xlfn._xlws.FILTER(tabla_base[Rendimiento_por_hectarea_ton], tabla_base[tipo_cultivo]=tabla_base[[#This Row],[tipo_cultivo]]), 0.75)</f>
        <v>5.1742550000000005</v>
      </c>
      <c r="M216" s="7" t="str">
        <f>IF(tabla_base[[#This Row],[Rendimiento_por_hectarea_ton]]&gt;tabla_base[[#This Row],[percentil_0,75]],"Sí","No")</f>
        <v>No</v>
      </c>
      <c r="N216" s="3">
        <v>0.39</v>
      </c>
      <c r="O216" t="s">
        <v>20</v>
      </c>
    </row>
    <row r="217" spans="1:15" x14ac:dyDescent="0.35">
      <c r="A217" t="s">
        <v>249</v>
      </c>
      <c r="B217" s="1" t="s">
        <v>16</v>
      </c>
      <c r="C217" s="1" t="s">
        <v>23</v>
      </c>
      <c r="D217" s="1" t="s">
        <v>31</v>
      </c>
      <c r="E217" s="2">
        <v>17.41</v>
      </c>
      <c r="F217" s="3">
        <v>7.31</v>
      </c>
      <c r="G217" s="3">
        <v>32.03</v>
      </c>
      <c r="H217" s="4">
        <v>85.61</v>
      </c>
      <c r="I217" s="3">
        <v>49.2</v>
      </c>
      <c r="J217" t="s">
        <v>37</v>
      </c>
      <c r="K217" s="5">
        <v>5.4089999999999998</v>
      </c>
      <c r="L217" s="6" cm="1">
        <f t="array" ref="L217">_xlfn.PERCENTILE.INC(_xlfn._xlws.FILTER(tabla_base[Rendimiento_por_hectarea_ton], tabla_base[tipo_cultivo]=tabla_base[[#This Row],[tipo_cultivo]]), 0.75)</f>
        <v>5.1742550000000005</v>
      </c>
      <c r="M217" s="7" t="str">
        <f>IF(tabla_base[[#This Row],[Rendimiento_por_hectarea_ton]]&gt;tabla_base[[#This Row],[percentil_0,75]],"Sí","No")</f>
        <v>Sí</v>
      </c>
      <c r="N217" s="3">
        <v>0.4</v>
      </c>
      <c r="O217" t="s">
        <v>26</v>
      </c>
    </row>
    <row r="218" spans="1:15" x14ac:dyDescent="0.35">
      <c r="A218" t="s">
        <v>250</v>
      </c>
      <c r="B218" s="1" t="s">
        <v>22</v>
      </c>
      <c r="C218" s="1" t="s">
        <v>30</v>
      </c>
      <c r="D218" s="1" t="s">
        <v>18</v>
      </c>
      <c r="E218" s="2">
        <v>18.77</v>
      </c>
      <c r="F218" s="3">
        <v>5.89</v>
      </c>
      <c r="G218" s="3">
        <v>26.61</v>
      </c>
      <c r="H218" s="4">
        <v>287.88</v>
      </c>
      <c r="I218" s="3">
        <v>57.86</v>
      </c>
      <c r="J218" t="s">
        <v>25</v>
      </c>
      <c r="K218" s="5">
        <v>3.9434399999999998</v>
      </c>
      <c r="L218" s="6" cm="1">
        <f t="array" ref="L218">_xlfn.PERCENTILE.INC(_xlfn._xlws.FILTER(tabla_base[Rendimiento_por_hectarea_ton], tabla_base[tipo_cultivo]=tabla_base[[#This Row],[tipo_cultivo]]), 0.75)</f>
        <v>5.2079399999999998</v>
      </c>
      <c r="M218" s="7" t="str">
        <f>IF(tabla_base[[#This Row],[Rendimiento_por_hectarea_ton]]&gt;tabla_base[[#This Row],[percentil_0,75]],"Sí","No")</f>
        <v>No</v>
      </c>
      <c r="N218" s="3">
        <v>0.56000000000000005</v>
      </c>
      <c r="O218" t="s">
        <v>20</v>
      </c>
    </row>
    <row r="219" spans="1:15" x14ac:dyDescent="0.35">
      <c r="A219" t="s">
        <v>251</v>
      </c>
      <c r="B219" s="1" t="s">
        <v>22</v>
      </c>
      <c r="C219" s="1" t="s">
        <v>30</v>
      </c>
      <c r="D219" s="1" t="s">
        <v>33</v>
      </c>
      <c r="E219" s="2">
        <v>15.9</v>
      </c>
      <c r="F219" s="3">
        <v>6.13</v>
      </c>
      <c r="G219" s="3">
        <v>30.71</v>
      </c>
      <c r="H219" s="4">
        <v>228.05</v>
      </c>
      <c r="I219" s="3">
        <v>72.040000000000006</v>
      </c>
      <c r="J219" t="s">
        <v>37</v>
      </c>
      <c r="K219" s="5">
        <v>3.7814299999999998</v>
      </c>
      <c r="L219" s="6" cm="1">
        <f t="array" ref="L219">_xlfn.PERCENTILE.INC(_xlfn._xlws.FILTER(tabla_base[Rendimiento_por_hectarea_ton], tabla_base[tipo_cultivo]=tabla_base[[#This Row],[tipo_cultivo]]), 0.75)</f>
        <v>5.1635450000000001</v>
      </c>
      <c r="M219" s="7" t="str">
        <f>IF(tabla_base[[#This Row],[Rendimiento_por_hectarea_ton]]&gt;tabla_base[[#This Row],[percentil_0,75]],"Sí","No")</f>
        <v>No</v>
      </c>
      <c r="N219" s="3">
        <v>0.84</v>
      </c>
      <c r="O219" t="s">
        <v>44</v>
      </c>
    </row>
    <row r="220" spans="1:15" x14ac:dyDescent="0.35">
      <c r="A220" t="s">
        <v>252</v>
      </c>
      <c r="B220" s="1" t="s">
        <v>22</v>
      </c>
      <c r="C220" s="1" t="s">
        <v>30</v>
      </c>
      <c r="D220" s="1" t="s">
        <v>35</v>
      </c>
      <c r="E220" s="2">
        <v>41.2</v>
      </c>
      <c r="F220" s="3">
        <v>5.89</v>
      </c>
      <c r="G220" s="3">
        <v>29.67</v>
      </c>
      <c r="H220" s="4">
        <v>206.65</v>
      </c>
      <c r="I220" s="3">
        <v>76.37</v>
      </c>
      <c r="J220" t="s">
        <v>28</v>
      </c>
      <c r="K220" s="5">
        <v>2.14663</v>
      </c>
      <c r="L220" s="6" cm="1">
        <f t="array" ref="L220">_xlfn.PERCENTILE.INC(_xlfn._xlws.FILTER(tabla_base[Rendimiento_por_hectarea_ton], tabla_base[tipo_cultivo]=tabla_base[[#This Row],[tipo_cultivo]]), 0.75)</f>
        <v>5.1318025</v>
      </c>
      <c r="M220" s="7" t="str">
        <f>IF(tabla_base[[#This Row],[Rendimiento_por_hectarea_ton]]&gt;tabla_base[[#This Row],[percentil_0,75]],"Sí","No")</f>
        <v>No</v>
      </c>
      <c r="N220" s="3">
        <v>0.46</v>
      </c>
      <c r="O220" t="s">
        <v>44</v>
      </c>
    </row>
    <row r="221" spans="1:15" x14ac:dyDescent="0.35">
      <c r="A221" t="s">
        <v>253</v>
      </c>
      <c r="B221" s="1" t="s">
        <v>22</v>
      </c>
      <c r="C221" s="1" t="s">
        <v>30</v>
      </c>
      <c r="D221" s="1" t="s">
        <v>33</v>
      </c>
      <c r="E221" s="2">
        <v>17.82</v>
      </c>
      <c r="F221" s="3">
        <v>7.04</v>
      </c>
      <c r="G221" s="3">
        <v>29.66</v>
      </c>
      <c r="H221" s="4">
        <v>122.75</v>
      </c>
      <c r="I221" s="3">
        <v>63.24</v>
      </c>
      <c r="J221" t="s">
        <v>19</v>
      </c>
      <c r="K221" s="5">
        <v>5.8559999999999999</v>
      </c>
      <c r="L221" s="6" cm="1">
        <f t="array" ref="L221">_xlfn.PERCENTILE.INC(_xlfn._xlws.FILTER(tabla_base[Rendimiento_por_hectarea_ton], tabla_base[tipo_cultivo]=tabla_base[[#This Row],[tipo_cultivo]]), 0.75)</f>
        <v>5.1635450000000001</v>
      </c>
      <c r="M221" s="7" t="str">
        <f>IF(tabla_base[[#This Row],[Rendimiento_por_hectarea_ton]]&gt;tabla_base[[#This Row],[percentil_0,75]],"Sí","No")</f>
        <v>Sí</v>
      </c>
      <c r="N221" s="3">
        <v>0.73</v>
      </c>
      <c r="O221" t="s">
        <v>19</v>
      </c>
    </row>
    <row r="222" spans="1:15" x14ac:dyDescent="0.35">
      <c r="A222" t="s">
        <v>254</v>
      </c>
      <c r="B222" s="1" t="s">
        <v>22</v>
      </c>
      <c r="C222" s="1" t="s">
        <v>23</v>
      </c>
      <c r="D222" s="1" t="s">
        <v>31</v>
      </c>
      <c r="E222" s="2">
        <v>11.41</v>
      </c>
      <c r="F222" s="3">
        <v>7.02</v>
      </c>
      <c r="G222" s="3">
        <v>19.63</v>
      </c>
      <c r="H222" s="4">
        <v>116.09</v>
      </c>
      <c r="I222" s="3">
        <v>51.7</v>
      </c>
      <c r="J222" t="s">
        <v>37</v>
      </c>
      <c r="K222" s="5">
        <v>5.9223599999999994</v>
      </c>
      <c r="L222" s="6" cm="1">
        <f t="array" ref="L222">_xlfn.PERCENTILE.INC(_xlfn._xlws.FILTER(tabla_base[Rendimiento_por_hectarea_ton], tabla_base[tipo_cultivo]=tabla_base[[#This Row],[tipo_cultivo]]), 0.75)</f>
        <v>5.1742550000000005</v>
      </c>
      <c r="M222" s="7" t="str">
        <f>IF(tabla_base[[#This Row],[Rendimiento_por_hectarea_ton]]&gt;tabla_base[[#This Row],[percentil_0,75]],"Sí","No")</f>
        <v>Sí</v>
      </c>
      <c r="N222" s="3">
        <v>0.64</v>
      </c>
      <c r="O222" t="s">
        <v>44</v>
      </c>
    </row>
    <row r="223" spans="1:15" x14ac:dyDescent="0.35">
      <c r="A223" t="s">
        <v>255</v>
      </c>
      <c r="B223" s="1" t="s">
        <v>22</v>
      </c>
      <c r="C223" s="1" t="s">
        <v>30</v>
      </c>
      <c r="D223" s="1" t="s">
        <v>24</v>
      </c>
      <c r="E223" s="2">
        <v>29.05</v>
      </c>
      <c r="F223" s="3">
        <v>5.85</v>
      </c>
      <c r="G223" s="3">
        <v>28.07</v>
      </c>
      <c r="H223" s="4">
        <v>141.32</v>
      </c>
      <c r="I223" s="3">
        <v>72.67</v>
      </c>
      <c r="J223" t="s">
        <v>37</v>
      </c>
      <c r="K223" s="5">
        <v>3.4115900000000003</v>
      </c>
      <c r="L223" s="6" cm="1">
        <f t="array" ref="L223">_xlfn.PERCENTILE.INC(_xlfn._xlws.FILTER(tabla_base[Rendimiento_por_hectarea_ton], tabla_base[tipo_cultivo]=tabla_base[[#This Row],[tipo_cultivo]]), 0.75)</f>
        <v>5.3984449999999997</v>
      </c>
      <c r="M223" s="7" t="str">
        <f>IF(tabla_base[[#This Row],[Rendimiento_por_hectarea_ton]]&gt;tabla_base[[#This Row],[percentil_0,75]],"Sí","No")</f>
        <v>No</v>
      </c>
      <c r="N223" s="3">
        <v>0.73</v>
      </c>
      <c r="O223" t="s">
        <v>20</v>
      </c>
    </row>
    <row r="224" spans="1:15" x14ac:dyDescent="0.35">
      <c r="A224" t="s">
        <v>256</v>
      </c>
      <c r="B224" s="1" t="s">
        <v>39</v>
      </c>
      <c r="C224" s="1" t="s">
        <v>40</v>
      </c>
      <c r="D224" s="1" t="s">
        <v>35</v>
      </c>
      <c r="E224" s="2">
        <v>25.4</v>
      </c>
      <c r="F224" s="3">
        <v>5.96</v>
      </c>
      <c r="G224" s="3">
        <v>25.29</v>
      </c>
      <c r="H224" s="4">
        <v>120.2</v>
      </c>
      <c r="I224" s="3">
        <v>47.51</v>
      </c>
      <c r="J224" t="s">
        <v>28</v>
      </c>
      <c r="K224" s="5">
        <v>3.9260700000000002</v>
      </c>
      <c r="L224" s="6" cm="1">
        <f t="array" ref="L224">_xlfn.PERCENTILE.INC(_xlfn._xlws.FILTER(tabla_base[Rendimiento_por_hectarea_ton], tabla_base[tipo_cultivo]=tabla_base[[#This Row],[tipo_cultivo]]), 0.75)</f>
        <v>5.1318025</v>
      </c>
      <c r="M224" s="7" t="str">
        <f>IF(tabla_base[[#This Row],[Rendimiento_por_hectarea_ton]]&gt;tabla_base[[#This Row],[percentil_0,75]],"Sí","No")</f>
        <v>No</v>
      </c>
      <c r="N224" s="3">
        <v>0.81</v>
      </c>
      <c r="O224" t="s">
        <v>19</v>
      </c>
    </row>
    <row r="225" spans="1:15" x14ac:dyDescent="0.35">
      <c r="A225" t="s">
        <v>257</v>
      </c>
      <c r="B225" s="1" t="s">
        <v>16</v>
      </c>
      <c r="C225" s="1" t="s">
        <v>17</v>
      </c>
      <c r="D225" s="1" t="s">
        <v>35</v>
      </c>
      <c r="E225" s="2">
        <v>11.51</v>
      </c>
      <c r="F225" s="3">
        <v>6.65</v>
      </c>
      <c r="G225" s="3">
        <v>18.22</v>
      </c>
      <c r="H225" s="4">
        <v>207.39</v>
      </c>
      <c r="I225" s="3">
        <v>41.96</v>
      </c>
      <c r="J225" t="s">
        <v>28</v>
      </c>
      <c r="K225" s="5">
        <v>4.3974299999999999</v>
      </c>
      <c r="L225" s="6" cm="1">
        <f t="array" ref="L225">_xlfn.PERCENTILE.INC(_xlfn._xlws.FILTER(tabla_base[Rendimiento_por_hectarea_ton], tabla_base[tipo_cultivo]=tabla_base[[#This Row],[tipo_cultivo]]), 0.75)</f>
        <v>5.1318025</v>
      </c>
      <c r="M225" s="7" t="str">
        <f>IF(tabla_base[[#This Row],[Rendimiento_por_hectarea_ton]]&gt;tabla_base[[#This Row],[percentil_0,75]],"Sí","No")</f>
        <v>No</v>
      </c>
      <c r="N225" s="3">
        <v>0.31</v>
      </c>
      <c r="O225" t="s">
        <v>19</v>
      </c>
    </row>
    <row r="226" spans="1:15" x14ac:dyDescent="0.35">
      <c r="A226" t="s">
        <v>258</v>
      </c>
      <c r="B226" s="1" t="s">
        <v>16</v>
      </c>
      <c r="C226" s="1" t="s">
        <v>17</v>
      </c>
      <c r="D226" s="1" t="s">
        <v>35</v>
      </c>
      <c r="E226" s="2">
        <v>25.72</v>
      </c>
      <c r="F226" s="3">
        <v>7.49</v>
      </c>
      <c r="G226" s="3">
        <v>32.35</v>
      </c>
      <c r="H226" s="4">
        <v>92.64</v>
      </c>
      <c r="I226" s="3">
        <v>81.52</v>
      </c>
      <c r="J226" t="s">
        <v>25</v>
      </c>
      <c r="K226" s="5">
        <v>4.7423599999999997</v>
      </c>
      <c r="L226" s="6" cm="1">
        <f t="array" ref="L226">_xlfn.PERCENTILE.INC(_xlfn._xlws.FILTER(tabla_base[Rendimiento_por_hectarea_ton], tabla_base[tipo_cultivo]=tabla_base[[#This Row],[tipo_cultivo]]), 0.75)</f>
        <v>5.1318025</v>
      </c>
      <c r="M226" s="7" t="str">
        <f>IF(tabla_base[[#This Row],[Rendimiento_por_hectarea_ton]]&gt;tabla_base[[#This Row],[percentil_0,75]],"Sí","No")</f>
        <v>No</v>
      </c>
      <c r="N226" s="3">
        <v>0.49</v>
      </c>
      <c r="O226" t="s">
        <v>44</v>
      </c>
    </row>
    <row r="227" spans="1:15" x14ac:dyDescent="0.35">
      <c r="A227" t="s">
        <v>259</v>
      </c>
      <c r="B227" s="1" t="s">
        <v>16</v>
      </c>
      <c r="C227" s="1" t="s">
        <v>17</v>
      </c>
      <c r="D227" s="1" t="s">
        <v>18</v>
      </c>
      <c r="E227" s="2">
        <v>17.079999999999998</v>
      </c>
      <c r="F227" s="3">
        <v>7.22</v>
      </c>
      <c r="G227" s="3">
        <v>25.09</v>
      </c>
      <c r="H227" s="4">
        <v>154.94999999999999</v>
      </c>
      <c r="I227" s="3">
        <v>47.48</v>
      </c>
      <c r="J227" t="s">
        <v>19</v>
      </c>
      <c r="K227" s="5">
        <v>2.4700700000000002</v>
      </c>
      <c r="L227" s="6" cm="1">
        <f t="array" ref="L227">_xlfn.PERCENTILE.INC(_xlfn._xlws.FILTER(tabla_base[Rendimiento_por_hectarea_ton], tabla_base[tipo_cultivo]=tabla_base[[#This Row],[tipo_cultivo]]), 0.75)</f>
        <v>5.2079399999999998</v>
      </c>
      <c r="M227" s="7" t="str">
        <f>IF(tabla_base[[#This Row],[Rendimiento_por_hectarea_ton]]&gt;tabla_base[[#This Row],[percentil_0,75]],"Sí","No")</f>
        <v>No</v>
      </c>
      <c r="N227" s="3">
        <v>0.84</v>
      </c>
      <c r="O227" t="s">
        <v>20</v>
      </c>
    </row>
    <row r="228" spans="1:15" x14ac:dyDescent="0.35">
      <c r="A228" t="s">
        <v>260</v>
      </c>
      <c r="B228" s="1" t="s">
        <v>22</v>
      </c>
      <c r="C228" s="1" t="s">
        <v>23</v>
      </c>
      <c r="D228" s="1" t="s">
        <v>24</v>
      </c>
      <c r="E228" s="2">
        <v>24.72</v>
      </c>
      <c r="F228" s="3">
        <v>7.25</v>
      </c>
      <c r="G228" s="3">
        <v>28.95</v>
      </c>
      <c r="H228" s="4">
        <v>157.24</v>
      </c>
      <c r="I228" s="3">
        <v>86.92</v>
      </c>
      <c r="J228" t="s">
        <v>19</v>
      </c>
      <c r="K228" s="5">
        <v>4.7868300000000001</v>
      </c>
      <c r="L228" s="6" cm="1">
        <f t="array" ref="L228">_xlfn.PERCENTILE.INC(_xlfn._xlws.FILTER(tabla_base[Rendimiento_por_hectarea_ton], tabla_base[tipo_cultivo]=tabla_base[[#This Row],[tipo_cultivo]]), 0.75)</f>
        <v>5.3984449999999997</v>
      </c>
      <c r="M228" s="7" t="str">
        <f>IF(tabla_base[[#This Row],[Rendimiento_por_hectarea_ton]]&gt;tabla_base[[#This Row],[percentil_0,75]],"Sí","No")</f>
        <v>No</v>
      </c>
      <c r="N228" s="3">
        <v>0.39</v>
      </c>
      <c r="O228" t="s">
        <v>44</v>
      </c>
    </row>
    <row r="229" spans="1:15" x14ac:dyDescent="0.35">
      <c r="A229" t="s">
        <v>261</v>
      </c>
      <c r="B229" s="1" t="s">
        <v>22</v>
      </c>
      <c r="C229" s="1" t="s">
        <v>30</v>
      </c>
      <c r="D229" s="1" t="s">
        <v>24</v>
      </c>
      <c r="E229" s="2">
        <v>40.69</v>
      </c>
      <c r="F229" s="3">
        <v>6.32</v>
      </c>
      <c r="G229" s="3">
        <v>18.78</v>
      </c>
      <c r="H229" s="4">
        <v>227.29</v>
      </c>
      <c r="I229" s="3">
        <v>79.47</v>
      </c>
      <c r="J229" t="s">
        <v>28</v>
      </c>
      <c r="K229" s="5">
        <v>5.2171499999999993</v>
      </c>
      <c r="L229" s="6" cm="1">
        <f t="array" ref="L229">_xlfn.PERCENTILE.INC(_xlfn._xlws.FILTER(tabla_base[Rendimiento_por_hectarea_ton], tabla_base[tipo_cultivo]=tabla_base[[#This Row],[tipo_cultivo]]), 0.75)</f>
        <v>5.3984449999999997</v>
      </c>
      <c r="M229" s="7" t="str">
        <f>IF(tabla_base[[#This Row],[Rendimiento_por_hectarea_ton]]&gt;tabla_base[[#This Row],[percentil_0,75]],"Sí","No")</f>
        <v>No</v>
      </c>
      <c r="N229" s="3">
        <v>0.89</v>
      </c>
      <c r="O229" t="s">
        <v>44</v>
      </c>
    </row>
    <row r="230" spans="1:15" x14ac:dyDescent="0.35">
      <c r="A230" t="s">
        <v>262</v>
      </c>
      <c r="B230" s="1" t="s">
        <v>22</v>
      </c>
      <c r="C230" s="1" t="s">
        <v>30</v>
      </c>
      <c r="D230" s="1" t="s">
        <v>24</v>
      </c>
      <c r="E230" s="2">
        <v>24.82</v>
      </c>
      <c r="F230" s="3">
        <v>6.23</v>
      </c>
      <c r="G230" s="3">
        <v>20.51</v>
      </c>
      <c r="H230" s="4">
        <v>220.15</v>
      </c>
      <c r="I230" s="3">
        <v>77.75</v>
      </c>
      <c r="J230" t="s">
        <v>19</v>
      </c>
      <c r="K230" s="5">
        <v>5.9540299999999995</v>
      </c>
      <c r="L230" s="6" cm="1">
        <f t="array" ref="L230">_xlfn.PERCENTILE.INC(_xlfn._xlws.FILTER(tabla_base[Rendimiento_por_hectarea_ton], tabla_base[tipo_cultivo]=tabla_base[[#This Row],[tipo_cultivo]]), 0.75)</f>
        <v>5.3984449999999997</v>
      </c>
      <c r="M230" s="7" t="str">
        <f>IF(tabla_base[[#This Row],[Rendimiento_por_hectarea_ton]]&gt;tabla_base[[#This Row],[percentil_0,75]],"Sí","No")</f>
        <v>Sí</v>
      </c>
      <c r="N230" s="3">
        <v>0.36</v>
      </c>
      <c r="O230" t="s">
        <v>19</v>
      </c>
    </row>
    <row r="231" spans="1:15" x14ac:dyDescent="0.35">
      <c r="A231" t="s">
        <v>263</v>
      </c>
      <c r="B231" s="1" t="s">
        <v>16</v>
      </c>
      <c r="C231" s="1" t="s">
        <v>23</v>
      </c>
      <c r="D231" s="1" t="s">
        <v>33</v>
      </c>
      <c r="E231" s="2">
        <v>37.409999999999997</v>
      </c>
      <c r="F231" s="3">
        <v>7.4</v>
      </c>
      <c r="G231" s="3">
        <v>17.010000000000002</v>
      </c>
      <c r="H231" s="4">
        <v>177.09</v>
      </c>
      <c r="I231" s="3">
        <v>79.3</v>
      </c>
      <c r="J231" t="s">
        <v>28</v>
      </c>
      <c r="K231" s="5">
        <v>2.36435</v>
      </c>
      <c r="L231" s="6" cm="1">
        <f t="array" ref="L231">_xlfn.PERCENTILE.INC(_xlfn._xlws.FILTER(tabla_base[Rendimiento_por_hectarea_ton], tabla_base[tipo_cultivo]=tabla_base[[#This Row],[tipo_cultivo]]), 0.75)</f>
        <v>5.1635450000000001</v>
      </c>
      <c r="M231" s="7" t="str">
        <f>IF(tabla_base[[#This Row],[Rendimiento_por_hectarea_ton]]&gt;tabla_base[[#This Row],[percentil_0,75]],"Sí","No")</f>
        <v>No</v>
      </c>
      <c r="N231" s="3">
        <v>0.59</v>
      </c>
      <c r="O231" t="s">
        <v>44</v>
      </c>
    </row>
    <row r="232" spans="1:15" x14ac:dyDescent="0.35">
      <c r="A232" t="s">
        <v>264</v>
      </c>
      <c r="B232" s="1" t="s">
        <v>16</v>
      </c>
      <c r="C232" s="1" t="s">
        <v>23</v>
      </c>
      <c r="D232" s="1" t="s">
        <v>31</v>
      </c>
      <c r="E232" s="2">
        <v>12.8</v>
      </c>
      <c r="F232" s="3">
        <v>5.58</v>
      </c>
      <c r="G232" s="3">
        <v>22.69</v>
      </c>
      <c r="H232" s="4">
        <v>296.11</v>
      </c>
      <c r="I232" s="3">
        <v>70.7</v>
      </c>
      <c r="J232" t="s">
        <v>28</v>
      </c>
      <c r="K232" s="5">
        <v>5.4022700000000006</v>
      </c>
      <c r="L232" s="6" cm="1">
        <f t="array" ref="L232">_xlfn.PERCENTILE.INC(_xlfn._xlws.FILTER(tabla_base[Rendimiento_por_hectarea_ton], tabla_base[tipo_cultivo]=tabla_base[[#This Row],[tipo_cultivo]]), 0.75)</f>
        <v>5.1742550000000005</v>
      </c>
      <c r="M232" s="7" t="str">
        <f>IF(tabla_base[[#This Row],[Rendimiento_por_hectarea_ton]]&gt;tabla_base[[#This Row],[percentil_0,75]],"Sí","No")</f>
        <v>Sí</v>
      </c>
      <c r="N232" s="3">
        <v>0.57999999999999996</v>
      </c>
      <c r="O232" t="s">
        <v>19</v>
      </c>
    </row>
    <row r="233" spans="1:15" x14ac:dyDescent="0.35">
      <c r="A233" t="s">
        <v>265</v>
      </c>
      <c r="B233" s="1" t="s">
        <v>39</v>
      </c>
      <c r="C233" s="1" t="s">
        <v>40</v>
      </c>
      <c r="D233" s="1" t="s">
        <v>35</v>
      </c>
      <c r="E233" s="2">
        <v>33.590000000000003</v>
      </c>
      <c r="F233" s="3">
        <v>6.22</v>
      </c>
      <c r="G233" s="3">
        <v>28.1</v>
      </c>
      <c r="H233" s="4">
        <v>293.91000000000003</v>
      </c>
      <c r="I233" s="3">
        <v>44.34</v>
      </c>
      <c r="J233" t="s">
        <v>19</v>
      </c>
      <c r="K233" s="5">
        <v>4.07097</v>
      </c>
      <c r="L233" s="6" cm="1">
        <f t="array" ref="L233">_xlfn.PERCENTILE.INC(_xlfn._xlws.FILTER(tabla_base[Rendimiento_por_hectarea_ton], tabla_base[tipo_cultivo]=tabla_base[[#This Row],[tipo_cultivo]]), 0.75)</f>
        <v>5.1318025</v>
      </c>
      <c r="M233" s="7" t="str">
        <f>IF(tabla_base[[#This Row],[Rendimiento_por_hectarea_ton]]&gt;tabla_base[[#This Row],[percentil_0,75]],"Sí","No")</f>
        <v>No</v>
      </c>
      <c r="N233" s="3">
        <v>0.5</v>
      </c>
      <c r="O233" t="s">
        <v>44</v>
      </c>
    </row>
    <row r="234" spans="1:15" x14ac:dyDescent="0.35">
      <c r="A234" t="s">
        <v>266</v>
      </c>
      <c r="B234" s="1" t="s">
        <v>22</v>
      </c>
      <c r="C234" s="1" t="s">
        <v>30</v>
      </c>
      <c r="D234" s="1" t="s">
        <v>31</v>
      </c>
      <c r="E234" s="2">
        <v>17.920000000000002</v>
      </c>
      <c r="F234" s="3">
        <v>7.43</v>
      </c>
      <c r="G234" s="3">
        <v>24.1</v>
      </c>
      <c r="H234" s="4">
        <v>150.99</v>
      </c>
      <c r="I234" s="3">
        <v>40.229999999999997</v>
      </c>
      <c r="J234" t="s">
        <v>28</v>
      </c>
      <c r="K234" s="5">
        <v>2.4680399999999998</v>
      </c>
      <c r="L234" s="6" cm="1">
        <f t="array" ref="L234">_xlfn.PERCENTILE.INC(_xlfn._xlws.FILTER(tabla_base[Rendimiento_por_hectarea_ton], tabla_base[tipo_cultivo]=tabla_base[[#This Row],[tipo_cultivo]]), 0.75)</f>
        <v>5.1742550000000005</v>
      </c>
      <c r="M234" s="7" t="str">
        <f>IF(tabla_base[[#This Row],[Rendimiento_por_hectarea_ton]]&gt;tabla_base[[#This Row],[percentil_0,75]],"Sí","No")</f>
        <v>No</v>
      </c>
      <c r="N234" s="3">
        <v>0.36</v>
      </c>
      <c r="O234" t="s">
        <v>19</v>
      </c>
    </row>
    <row r="235" spans="1:15" x14ac:dyDescent="0.35">
      <c r="A235" t="s">
        <v>267</v>
      </c>
      <c r="B235" s="1" t="s">
        <v>22</v>
      </c>
      <c r="C235" s="1" t="s">
        <v>23</v>
      </c>
      <c r="D235" s="1" t="s">
        <v>33</v>
      </c>
      <c r="E235" s="2">
        <v>29.71</v>
      </c>
      <c r="F235" s="3">
        <v>7.04</v>
      </c>
      <c r="G235" s="3">
        <v>30.15</v>
      </c>
      <c r="H235" s="4">
        <v>290.31</v>
      </c>
      <c r="I235" s="3">
        <v>62.94</v>
      </c>
      <c r="J235" t="s">
        <v>28</v>
      </c>
      <c r="K235" s="5">
        <v>5.1546199999999995</v>
      </c>
      <c r="L235" s="6" cm="1">
        <f t="array" ref="L235">_xlfn.PERCENTILE.INC(_xlfn._xlws.FILTER(tabla_base[Rendimiento_por_hectarea_ton], tabla_base[tipo_cultivo]=tabla_base[[#This Row],[tipo_cultivo]]), 0.75)</f>
        <v>5.1635450000000001</v>
      </c>
      <c r="M235" s="7" t="str">
        <f>IF(tabla_base[[#This Row],[Rendimiento_por_hectarea_ton]]&gt;tabla_base[[#This Row],[percentil_0,75]],"Sí","No")</f>
        <v>No</v>
      </c>
      <c r="N235" s="3">
        <v>0.59</v>
      </c>
      <c r="O235" t="s">
        <v>26</v>
      </c>
    </row>
    <row r="236" spans="1:15" x14ac:dyDescent="0.35">
      <c r="A236" t="s">
        <v>268</v>
      </c>
      <c r="B236" s="1" t="s">
        <v>39</v>
      </c>
      <c r="C236" s="1" t="s">
        <v>40</v>
      </c>
      <c r="D236" s="1" t="s">
        <v>24</v>
      </c>
      <c r="E236" s="2">
        <v>10.34</v>
      </c>
      <c r="F236" s="3">
        <v>7.16</v>
      </c>
      <c r="G236" s="3">
        <v>19.97</v>
      </c>
      <c r="H236" s="4">
        <v>73.25</v>
      </c>
      <c r="I236" s="3">
        <v>73.680000000000007</v>
      </c>
      <c r="J236" t="s">
        <v>28</v>
      </c>
      <c r="K236" s="5">
        <v>2.87426</v>
      </c>
      <c r="L236" s="6" cm="1">
        <f t="array" ref="L236">_xlfn.PERCENTILE.INC(_xlfn._xlws.FILTER(tabla_base[Rendimiento_por_hectarea_ton], tabla_base[tipo_cultivo]=tabla_base[[#This Row],[tipo_cultivo]]), 0.75)</f>
        <v>5.3984449999999997</v>
      </c>
      <c r="M236" s="7" t="str">
        <f>IF(tabla_base[[#This Row],[Rendimiento_por_hectarea_ton]]&gt;tabla_base[[#This Row],[percentil_0,75]],"Sí","No")</f>
        <v>No</v>
      </c>
      <c r="N236" s="3">
        <v>0.5</v>
      </c>
      <c r="O236" t="s">
        <v>26</v>
      </c>
    </row>
    <row r="237" spans="1:15" x14ac:dyDescent="0.35">
      <c r="A237" t="s">
        <v>269</v>
      </c>
      <c r="B237" s="1" t="s">
        <v>22</v>
      </c>
      <c r="C237" s="1" t="s">
        <v>23</v>
      </c>
      <c r="D237" s="1" t="s">
        <v>35</v>
      </c>
      <c r="E237" s="2">
        <v>18.22</v>
      </c>
      <c r="F237" s="3">
        <v>5.98</v>
      </c>
      <c r="G237" s="3">
        <v>20.309999999999999</v>
      </c>
      <c r="H237" s="4">
        <v>107.3</v>
      </c>
      <c r="I237" s="3">
        <v>81.75</v>
      </c>
      <c r="J237" t="s">
        <v>37</v>
      </c>
      <c r="K237" s="5">
        <v>5.8231200000000003</v>
      </c>
      <c r="L237" s="6" cm="1">
        <f t="array" ref="L237">_xlfn.PERCENTILE.INC(_xlfn._xlws.FILTER(tabla_base[Rendimiento_por_hectarea_ton], tabla_base[tipo_cultivo]=tabla_base[[#This Row],[tipo_cultivo]]), 0.75)</f>
        <v>5.1318025</v>
      </c>
      <c r="M237" s="7" t="str">
        <f>IF(tabla_base[[#This Row],[Rendimiento_por_hectarea_ton]]&gt;tabla_base[[#This Row],[percentil_0,75]],"Sí","No")</f>
        <v>Sí</v>
      </c>
      <c r="N237" s="3">
        <v>0.41</v>
      </c>
      <c r="O237" t="s">
        <v>44</v>
      </c>
    </row>
    <row r="238" spans="1:15" x14ac:dyDescent="0.35">
      <c r="A238" t="s">
        <v>270</v>
      </c>
      <c r="B238" s="1" t="s">
        <v>22</v>
      </c>
      <c r="C238" s="1" t="s">
        <v>23</v>
      </c>
      <c r="D238" s="1" t="s">
        <v>31</v>
      </c>
      <c r="E238" s="2">
        <v>31.72</v>
      </c>
      <c r="F238" s="3">
        <v>6.48</v>
      </c>
      <c r="G238" s="3">
        <v>34.71</v>
      </c>
      <c r="H238" s="4">
        <v>274.25</v>
      </c>
      <c r="I238" s="3">
        <v>83.44</v>
      </c>
      <c r="J238" t="s">
        <v>37</v>
      </c>
      <c r="K238" s="5">
        <v>4.1029399999999994</v>
      </c>
      <c r="L238" s="6" cm="1">
        <f t="array" ref="L238">_xlfn.PERCENTILE.INC(_xlfn._xlws.FILTER(tabla_base[Rendimiento_por_hectarea_ton], tabla_base[tipo_cultivo]=tabla_base[[#This Row],[tipo_cultivo]]), 0.75)</f>
        <v>5.1742550000000005</v>
      </c>
      <c r="M238" s="7" t="str">
        <f>IF(tabla_base[[#This Row],[Rendimiento_por_hectarea_ton]]&gt;tabla_base[[#This Row],[percentil_0,75]],"Sí","No")</f>
        <v>No</v>
      </c>
      <c r="N238" s="3">
        <v>0.48</v>
      </c>
      <c r="O238" t="s">
        <v>20</v>
      </c>
    </row>
    <row r="239" spans="1:15" x14ac:dyDescent="0.35">
      <c r="A239" t="s">
        <v>271</v>
      </c>
      <c r="B239" s="1" t="s">
        <v>16</v>
      </c>
      <c r="C239" s="1" t="s">
        <v>23</v>
      </c>
      <c r="D239" s="1" t="s">
        <v>33</v>
      </c>
      <c r="E239" s="2">
        <v>44.18</v>
      </c>
      <c r="F239" s="3">
        <v>6.9</v>
      </c>
      <c r="G239" s="3">
        <v>24.2</v>
      </c>
      <c r="H239" s="4">
        <v>222.3</v>
      </c>
      <c r="I239" s="3">
        <v>40.590000000000003</v>
      </c>
      <c r="J239" t="s">
        <v>28</v>
      </c>
      <c r="K239" s="5">
        <v>3.0514000000000001</v>
      </c>
      <c r="L239" s="6" cm="1">
        <f t="array" ref="L239">_xlfn.PERCENTILE.INC(_xlfn._xlws.FILTER(tabla_base[Rendimiento_por_hectarea_ton], tabla_base[tipo_cultivo]=tabla_base[[#This Row],[tipo_cultivo]]), 0.75)</f>
        <v>5.1635450000000001</v>
      </c>
      <c r="M239" s="7" t="str">
        <f>IF(tabla_base[[#This Row],[Rendimiento_por_hectarea_ton]]&gt;tabla_base[[#This Row],[percentil_0,75]],"Sí","No")</f>
        <v>No</v>
      </c>
      <c r="N239" s="3">
        <v>0.66</v>
      </c>
      <c r="O239" t="s">
        <v>19</v>
      </c>
    </row>
    <row r="240" spans="1:15" x14ac:dyDescent="0.35">
      <c r="A240" t="s">
        <v>272</v>
      </c>
      <c r="B240" s="1" t="s">
        <v>22</v>
      </c>
      <c r="C240" s="1" t="s">
        <v>23</v>
      </c>
      <c r="D240" s="1" t="s">
        <v>35</v>
      </c>
      <c r="E240" s="2">
        <v>24.67</v>
      </c>
      <c r="F240" s="3">
        <v>7</v>
      </c>
      <c r="G240" s="3">
        <v>22.3</v>
      </c>
      <c r="H240" s="4">
        <v>150.15</v>
      </c>
      <c r="I240" s="3">
        <v>62.54</v>
      </c>
      <c r="J240" t="s">
        <v>25</v>
      </c>
      <c r="K240" s="5">
        <v>5.42523</v>
      </c>
      <c r="L240" s="6" cm="1">
        <f t="array" ref="L240">_xlfn.PERCENTILE.INC(_xlfn._xlws.FILTER(tabla_base[Rendimiento_por_hectarea_ton], tabla_base[tipo_cultivo]=tabla_base[[#This Row],[tipo_cultivo]]), 0.75)</f>
        <v>5.1318025</v>
      </c>
      <c r="M240" s="7" t="str">
        <f>IF(tabla_base[[#This Row],[Rendimiento_por_hectarea_ton]]&gt;tabla_base[[#This Row],[percentil_0,75]],"Sí","No")</f>
        <v>Sí</v>
      </c>
      <c r="N240" s="3">
        <v>0.51</v>
      </c>
      <c r="O240" t="s">
        <v>44</v>
      </c>
    </row>
    <row r="241" spans="1:15" x14ac:dyDescent="0.35">
      <c r="A241" t="s">
        <v>273</v>
      </c>
      <c r="B241" s="1" t="s">
        <v>16</v>
      </c>
      <c r="C241" s="1" t="s">
        <v>23</v>
      </c>
      <c r="D241" s="1" t="s">
        <v>33</v>
      </c>
      <c r="E241" s="2">
        <v>27.49</v>
      </c>
      <c r="F241" s="3">
        <v>7.49</v>
      </c>
      <c r="G241" s="3">
        <v>31.99</v>
      </c>
      <c r="H241" s="4">
        <v>179.25</v>
      </c>
      <c r="I241" s="3">
        <v>76.03</v>
      </c>
      <c r="J241" t="s">
        <v>37</v>
      </c>
      <c r="K241" s="5">
        <v>2.3959000000000001</v>
      </c>
      <c r="L241" s="6" cm="1">
        <f t="array" ref="L241">_xlfn.PERCENTILE.INC(_xlfn._xlws.FILTER(tabla_base[Rendimiento_por_hectarea_ton], tabla_base[tipo_cultivo]=tabla_base[[#This Row],[tipo_cultivo]]), 0.75)</f>
        <v>5.1635450000000001</v>
      </c>
      <c r="M241" s="7" t="str">
        <f>IF(tabla_base[[#This Row],[Rendimiento_por_hectarea_ton]]&gt;tabla_base[[#This Row],[percentil_0,75]],"Sí","No")</f>
        <v>No</v>
      </c>
      <c r="N241" s="3">
        <v>0.67</v>
      </c>
      <c r="O241" t="s">
        <v>20</v>
      </c>
    </row>
    <row r="242" spans="1:15" x14ac:dyDescent="0.35">
      <c r="A242" t="s">
        <v>274</v>
      </c>
      <c r="B242" s="1" t="s">
        <v>22</v>
      </c>
      <c r="C242" s="1" t="s">
        <v>23</v>
      </c>
      <c r="D242" s="1" t="s">
        <v>31</v>
      </c>
      <c r="E242" s="2">
        <v>19.09</v>
      </c>
      <c r="F242" s="3">
        <v>6.22</v>
      </c>
      <c r="G242" s="3">
        <v>26.15</v>
      </c>
      <c r="H242" s="4">
        <v>252.5</v>
      </c>
      <c r="I242" s="3">
        <v>57.21</v>
      </c>
      <c r="J242" t="s">
        <v>37</v>
      </c>
      <c r="K242" s="5">
        <v>4.5994599999999997</v>
      </c>
      <c r="L242" s="6" cm="1">
        <f t="array" ref="L242">_xlfn.PERCENTILE.INC(_xlfn._xlws.FILTER(tabla_base[Rendimiento_por_hectarea_ton], tabla_base[tipo_cultivo]=tabla_base[[#This Row],[tipo_cultivo]]), 0.75)</f>
        <v>5.1742550000000005</v>
      </c>
      <c r="M242" s="7" t="str">
        <f>IF(tabla_base[[#This Row],[Rendimiento_por_hectarea_ton]]&gt;tabla_base[[#This Row],[percentil_0,75]],"Sí","No")</f>
        <v>No</v>
      </c>
      <c r="N242" s="3">
        <v>0.32</v>
      </c>
      <c r="O242" t="s">
        <v>20</v>
      </c>
    </row>
    <row r="243" spans="1:15" x14ac:dyDescent="0.35">
      <c r="A243" t="s">
        <v>275</v>
      </c>
      <c r="B243" s="1" t="s">
        <v>22</v>
      </c>
      <c r="C243" s="1" t="s">
        <v>23</v>
      </c>
      <c r="D243" s="1" t="s">
        <v>18</v>
      </c>
      <c r="E243" s="2">
        <v>23.34</v>
      </c>
      <c r="F243" s="3">
        <v>6.07</v>
      </c>
      <c r="G243" s="3">
        <v>27.63</v>
      </c>
      <c r="H243" s="4">
        <v>86.21</v>
      </c>
      <c r="I243" s="3">
        <v>48.38</v>
      </c>
      <c r="J243" t="s">
        <v>37</v>
      </c>
      <c r="K243" s="5">
        <v>5.6282899999999998</v>
      </c>
      <c r="L243" s="6" cm="1">
        <f t="array" ref="L243">_xlfn.PERCENTILE.INC(_xlfn._xlws.FILTER(tabla_base[Rendimiento_por_hectarea_ton], tabla_base[tipo_cultivo]=tabla_base[[#This Row],[tipo_cultivo]]), 0.75)</f>
        <v>5.2079399999999998</v>
      </c>
      <c r="M243" s="7" t="str">
        <f>IF(tabla_base[[#This Row],[Rendimiento_por_hectarea_ton]]&gt;tabla_base[[#This Row],[percentil_0,75]],"Sí","No")</f>
        <v>Sí</v>
      </c>
      <c r="N243" s="3">
        <v>0.73</v>
      </c>
      <c r="O243" t="s">
        <v>26</v>
      </c>
    </row>
    <row r="244" spans="1:15" x14ac:dyDescent="0.35">
      <c r="A244" t="s">
        <v>276</v>
      </c>
      <c r="B244" s="1" t="s">
        <v>22</v>
      </c>
      <c r="C244" s="1" t="s">
        <v>30</v>
      </c>
      <c r="D244" s="1" t="s">
        <v>24</v>
      </c>
      <c r="E244" s="2">
        <v>32.56</v>
      </c>
      <c r="F244" s="3">
        <v>6.04</v>
      </c>
      <c r="G244" s="3">
        <v>23.9</v>
      </c>
      <c r="H244" s="4">
        <v>265.7</v>
      </c>
      <c r="I244" s="3">
        <v>58.16</v>
      </c>
      <c r="J244" t="s">
        <v>19</v>
      </c>
      <c r="K244" s="5">
        <v>2.9385100000000004</v>
      </c>
      <c r="L244" s="6" cm="1">
        <f t="array" ref="L244">_xlfn.PERCENTILE.INC(_xlfn._xlws.FILTER(tabla_base[Rendimiento_por_hectarea_ton], tabla_base[tipo_cultivo]=tabla_base[[#This Row],[tipo_cultivo]]), 0.75)</f>
        <v>5.3984449999999997</v>
      </c>
      <c r="M244" s="7" t="str">
        <f>IF(tabla_base[[#This Row],[Rendimiento_por_hectarea_ton]]&gt;tabla_base[[#This Row],[percentil_0,75]],"Sí","No")</f>
        <v>No</v>
      </c>
      <c r="N244" s="3">
        <v>0.73</v>
      </c>
      <c r="O244" t="s">
        <v>20</v>
      </c>
    </row>
    <row r="245" spans="1:15" x14ac:dyDescent="0.35">
      <c r="A245" t="s">
        <v>277</v>
      </c>
      <c r="B245" s="1" t="s">
        <v>22</v>
      </c>
      <c r="C245" s="1" t="s">
        <v>23</v>
      </c>
      <c r="D245" s="1" t="s">
        <v>18</v>
      </c>
      <c r="E245" s="2">
        <v>13.34</v>
      </c>
      <c r="F245" s="3">
        <v>7.37</v>
      </c>
      <c r="G245" s="3">
        <v>24.46</v>
      </c>
      <c r="H245" s="4">
        <v>63.46</v>
      </c>
      <c r="I245" s="3">
        <v>78.55</v>
      </c>
      <c r="J245" t="s">
        <v>28</v>
      </c>
      <c r="K245" s="5">
        <v>5.7263599999999997</v>
      </c>
      <c r="L245" s="6" cm="1">
        <f t="array" ref="L245">_xlfn.PERCENTILE.INC(_xlfn._xlws.FILTER(tabla_base[Rendimiento_por_hectarea_ton], tabla_base[tipo_cultivo]=tabla_base[[#This Row],[tipo_cultivo]]), 0.75)</f>
        <v>5.2079399999999998</v>
      </c>
      <c r="M245" s="7" t="str">
        <f>IF(tabla_base[[#This Row],[Rendimiento_por_hectarea_ton]]&gt;tabla_base[[#This Row],[percentil_0,75]],"Sí","No")</f>
        <v>Sí</v>
      </c>
      <c r="N245" s="3">
        <v>0.46</v>
      </c>
      <c r="O245" t="s">
        <v>19</v>
      </c>
    </row>
    <row r="246" spans="1:15" x14ac:dyDescent="0.35">
      <c r="A246" t="s">
        <v>278</v>
      </c>
      <c r="B246" s="1" t="s">
        <v>16</v>
      </c>
      <c r="C246" s="1" t="s">
        <v>23</v>
      </c>
      <c r="D246" s="1" t="s">
        <v>24</v>
      </c>
      <c r="E246" s="2">
        <v>39.35</v>
      </c>
      <c r="F246" s="3">
        <v>5.56</v>
      </c>
      <c r="G246" s="3">
        <v>28.27</v>
      </c>
      <c r="H246" s="4">
        <v>265.08999999999997</v>
      </c>
      <c r="I246" s="3">
        <v>56.26</v>
      </c>
      <c r="J246" t="s">
        <v>37</v>
      </c>
      <c r="K246" s="5">
        <v>4.3633199999999999</v>
      </c>
      <c r="L246" s="6" cm="1">
        <f t="array" ref="L246">_xlfn.PERCENTILE.INC(_xlfn._xlws.FILTER(tabla_base[Rendimiento_por_hectarea_ton], tabla_base[tipo_cultivo]=tabla_base[[#This Row],[tipo_cultivo]]), 0.75)</f>
        <v>5.3984449999999997</v>
      </c>
      <c r="M246" s="7" t="str">
        <f>IF(tabla_base[[#This Row],[Rendimiento_por_hectarea_ton]]&gt;tabla_base[[#This Row],[percentil_0,75]],"Sí","No")</f>
        <v>No</v>
      </c>
      <c r="N246" s="3">
        <v>0.72</v>
      </c>
      <c r="O246" t="s">
        <v>26</v>
      </c>
    </row>
    <row r="247" spans="1:15" x14ac:dyDescent="0.35">
      <c r="A247" t="s">
        <v>279</v>
      </c>
      <c r="B247" s="1" t="s">
        <v>22</v>
      </c>
      <c r="C247" s="1" t="s">
        <v>30</v>
      </c>
      <c r="D247" s="1" t="s">
        <v>33</v>
      </c>
      <c r="E247" s="2">
        <v>28.89</v>
      </c>
      <c r="F247" s="3">
        <v>7.11</v>
      </c>
      <c r="G247" s="3">
        <v>23.84</v>
      </c>
      <c r="H247" s="4">
        <v>141.44999999999999</v>
      </c>
      <c r="I247" s="3">
        <v>52.99</v>
      </c>
      <c r="J247" t="s">
        <v>28</v>
      </c>
      <c r="K247" s="5">
        <v>3.8767900000000002</v>
      </c>
      <c r="L247" s="6" cm="1">
        <f t="array" ref="L247">_xlfn.PERCENTILE.INC(_xlfn._xlws.FILTER(tabla_base[Rendimiento_por_hectarea_ton], tabla_base[tipo_cultivo]=tabla_base[[#This Row],[tipo_cultivo]]), 0.75)</f>
        <v>5.1635450000000001</v>
      </c>
      <c r="M247" s="7" t="str">
        <f>IF(tabla_base[[#This Row],[Rendimiento_por_hectarea_ton]]&gt;tabla_base[[#This Row],[percentil_0,75]],"Sí","No")</f>
        <v>No</v>
      </c>
      <c r="N247" s="3">
        <v>0.87</v>
      </c>
      <c r="O247" t="s">
        <v>26</v>
      </c>
    </row>
    <row r="248" spans="1:15" x14ac:dyDescent="0.35">
      <c r="A248" t="s">
        <v>280</v>
      </c>
      <c r="B248" s="1" t="s">
        <v>16</v>
      </c>
      <c r="C248" s="1" t="s">
        <v>17</v>
      </c>
      <c r="D248" s="1" t="s">
        <v>33</v>
      </c>
      <c r="E248" s="2">
        <v>37.93</v>
      </c>
      <c r="F248" s="3">
        <v>6.69</v>
      </c>
      <c r="G248" s="3">
        <v>30.94</v>
      </c>
      <c r="H248" s="4">
        <v>187.05</v>
      </c>
      <c r="I248" s="3">
        <v>49.43</v>
      </c>
      <c r="J248" t="s">
        <v>19</v>
      </c>
      <c r="K248" s="5">
        <v>3.5588899999999999</v>
      </c>
      <c r="L248" s="6" cm="1">
        <f t="array" ref="L248">_xlfn.PERCENTILE.INC(_xlfn._xlws.FILTER(tabla_base[Rendimiento_por_hectarea_ton], tabla_base[tipo_cultivo]=tabla_base[[#This Row],[tipo_cultivo]]), 0.75)</f>
        <v>5.1635450000000001</v>
      </c>
      <c r="M248" s="7" t="str">
        <f>IF(tabla_base[[#This Row],[Rendimiento_por_hectarea_ton]]&gt;tabla_base[[#This Row],[percentil_0,75]],"Sí","No")</f>
        <v>No</v>
      </c>
      <c r="N248" s="3">
        <v>0.55000000000000004</v>
      </c>
      <c r="O248" t="s">
        <v>26</v>
      </c>
    </row>
    <row r="249" spans="1:15" x14ac:dyDescent="0.35">
      <c r="A249" t="s">
        <v>281</v>
      </c>
      <c r="B249" s="1" t="s">
        <v>22</v>
      </c>
      <c r="C249" s="1" t="s">
        <v>30</v>
      </c>
      <c r="D249" s="1" t="s">
        <v>24</v>
      </c>
      <c r="E249" s="2">
        <v>38.31</v>
      </c>
      <c r="F249" s="3">
        <v>6.33</v>
      </c>
      <c r="G249" s="3">
        <v>32.07</v>
      </c>
      <c r="H249" s="4">
        <v>95.6</v>
      </c>
      <c r="I249" s="3">
        <v>54.48</v>
      </c>
      <c r="J249" t="s">
        <v>19</v>
      </c>
      <c r="K249" s="5">
        <v>2.0775799999999998</v>
      </c>
      <c r="L249" s="6" cm="1">
        <f t="array" ref="L249">_xlfn.PERCENTILE.INC(_xlfn._xlws.FILTER(tabla_base[Rendimiento_por_hectarea_ton], tabla_base[tipo_cultivo]=tabla_base[[#This Row],[tipo_cultivo]]), 0.75)</f>
        <v>5.3984449999999997</v>
      </c>
      <c r="M249" s="7" t="str">
        <f>IF(tabla_base[[#This Row],[Rendimiento_por_hectarea_ton]]&gt;tabla_base[[#This Row],[percentil_0,75]],"Sí","No")</f>
        <v>No</v>
      </c>
      <c r="N249" s="3">
        <v>0.74</v>
      </c>
      <c r="O249" t="s">
        <v>20</v>
      </c>
    </row>
    <row r="250" spans="1:15" x14ac:dyDescent="0.35">
      <c r="A250" t="s">
        <v>282</v>
      </c>
      <c r="B250" s="1" t="s">
        <v>22</v>
      </c>
      <c r="C250" s="1" t="s">
        <v>30</v>
      </c>
      <c r="D250" s="1" t="s">
        <v>35</v>
      </c>
      <c r="E250" s="2">
        <v>35.03</v>
      </c>
      <c r="F250" s="3">
        <v>6.95</v>
      </c>
      <c r="G250" s="3">
        <v>19.66</v>
      </c>
      <c r="H250" s="4">
        <v>87.67</v>
      </c>
      <c r="I250" s="3">
        <v>64.680000000000007</v>
      </c>
      <c r="J250" t="s">
        <v>37</v>
      </c>
      <c r="K250" s="5">
        <v>2.1269499999999999</v>
      </c>
      <c r="L250" s="6" cm="1">
        <f t="array" ref="L250">_xlfn.PERCENTILE.INC(_xlfn._xlws.FILTER(tabla_base[Rendimiento_por_hectarea_ton], tabla_base[tipo_cultivo]=tabla_base[[#This Row],[tipo_cultivo]]), 0.75)</f>
        <v>5.1318025</v>
      </c>
      <c r="M250" s="7" t="str">
        <f>IF(tabla_base[[#This Row],[Rendimiento_por_hectarea_ton]]&gt;tabla_base[[#This Row],[percentil_0,75]],"Sí","No")</f>
        <v>No</v>
      </c>
      <c r="N250" s="3">
        <v>0.83</v>
      </c>
      <c r="O250" t="s">
        <v>19</v>
      </c>
    </row>
    <row r="251" spans="1:15" x14ac:dyDescent="0.35">
      <c r="A251" t="s">
        <v>283</v>
      </c>
      <c r="B251" s="1" t="s">
        <v>16</v>
      </c>
      <c r="C251" s="1" t="s">
        <v>17</v>
      </c>
      <c r="D251" s="1" t="s">
        <v>24</v>
      </c>
      <c r="E251" s="2">
        <v>26.46</v>
      </c>
      <c r="F251" s="3">
        <v>5.88</v>
      </c>
      <c r="G251" s="3">
        <v>31.83</v>
      </c>
      <c r="H251" s="4">
        <v>254.31</v>
      </c>
      <c r="I251" s="3">
        <v>81.41</v>
      </c>
      <c r="J251" t="s">
        <v>25</v>
      </c>
      <c r="K251" s="5">
        <v>5.9781400000000007</v>
      </c>
      <c r="L251" s="6" cm="1">
        <f t="array" ref="L251">_xlfn.PERCENTILE.INC(_xlfn._xlws.FILTER(tabla_base[Rendimiento_por_hectarea_ton], tabla_base[tipo_cultivo]=tabla_base[[#This Row],[tipo_cultivo]]), 0.75)</f>
        <v>5.3984449999999997</v>
      </c>
      <c r="M251" s="7" t="str">
        <f>IF(tabla_base[[#This Row],[Rendimiento_por_hectarea_ton]]&gt;tabla_base[[#This Row],[percentil_0,75]],"Sí","No")</f>
        <v>Sí</v>
      </c>
      <c r="N251" s="3">
        <v>0.76</v>
      </c>
      <c r="O251" t="s">
        <v>19</v>
      </c>
    </row>
    <row r="252" spans="1:15" x14ac:dyDescent="0.35">
      <c r="A252" t="s">
        <v>284</v>
      </c>
      <c r="B252" s="1" t="s">
        <v>22</v>
      </c>
      <c r="C252" s="1" t="s">
        <v>23</v>
      </c>
      <c r="D252" s="1" t="s">
        <v>33</v>
      </c>
      <c r="E252" s="2">
        <v>33.85</v>
      </c>
      <c r="F252" s="3">
        <v>6.12</v>
      </c>
      <c r="G252" s="3">
        <v>21.46</v>
      </c>
      <c r="H252" s="4">
        <v>207.29</v>
      </c>
      <c r="I252" s="3">
        <v>42.11</v>
      </c>
      <c r="J252" t="s">
        <v>28</v>
      </c>
      <c r="K252" s="5">
        <v>5.5500800000000003</v>
      </c>
      <c r="L252" s="6" cm="1">
        <f t="array" ref="L252">_xlfn.PERCENTILE.INC(_xlfn._xlws.FILTER(tabla_base[Rendimiento_por_hectarea_ton], tabla_base[tipo_cultivo]=tabla_base[[#This Row],[tipo_cultivo]]), 0.75)</f>
        <v>5.1635450000000001</v>
      </c>
      <c r="M252" s="7" t="str">
        <f>IF(tabla_base[[#This Row],[Rendimiento_por_hectarea_ton]]&gt;tabla_base[[#This Row],[percentil_0,75]],"Sí","No")</f>
        <v>Sí</v>
      </c>
      <c r="N252" s="3">
        <v>0.69</v>
      </c>
      <c r="O252" t="s">
        <v>20</v>
      </c>
    </row>
    <row r="253" spans="1:15" x14ac:dyDescent="0.35">
      <c r="A253" t="s">
        <v>285</v>
      </c>
      <c r="B253" s="1" t="s">
        <v>22</v>
      </c>
      <c r="C253" s="1" t="s">
        <v>30</v>
      </c>
      <c r="D253" s="1" t="s">
        <v>18</v>
      </c>
      <c r="E253" s="2">
        <v>15.86</v>
      </c>
      <c r="F253" s="3">
        <v>6.05</v>
      </c>
      <c r="G253" s="3">
        <v>17.39</v>
      </c>
      <c r="H253" s="4">
        <v>247.29</v>
      </c>
      <c r="I253" s="3">
        <v>40.450000000000003</v>
      </c>
      <c r="J253" t="s">
        <v>19</v>
      </c>
      <c r="K253" s="5">
        <v>2.9948899999999998</v>
      </c>
      <c r="L253" s="6" cm="1">
        <f t="array" ref="L253">_xlfn.PERCENTILE.INC(_xlfn._xlws.FILTER(tabla_base[Rendimiento_por_hectarea_ton], tabla_base[tipo_cultivo]=tabla_base[[#This Row],[tipo_cultivo]]), 0.75)</f>
        <v>5.2079399999999998</v>
      </c>
      <c r="M253" s="7" t="str">
        <f>IF(tabla_base[[#This Row],[Rendimiento_por_hectarea_ton]]&gt;tabla_base[[#This Row],[percentil_0,75]],"Sí","No")</f>
        <v>No</v>
      </c>
      <c r="N253" s="3">
        <v>0.74</v>
      </c>
      <c r="O253" t="s">
        <v>19</v>
      </c>
    </row>
    <row r="254" spans="1:15" x14ac:dyDescent="0.35">
      <c r="A254" t="s">
        <v>286</v>
      </c>
      <c r="B254" s="1" t="s">
        <v>16</v>
      </c>
      <c r="C254" s="1" t="s">
        <v>17</v>
      </c>
      <c r="D254" s="1" t="s">
        <v>31</v>
      </c>
      <c r="E254" s="2">
        <v>32.56</v>
      </c>
      <c r="F254" s="3">
        <v>6.9</v>
      </c>
      <c r="G254" s="3">
        <v>30.83</v>
      </c>
      <c r="H254" s="4">
        <v>81.459999999999994</v>
      </c>
      <c r="I254" s="3">
        <v>51.63</v>
      </c>
      <c r="J254" t="s">
        <v>37</v>
      </c>
      <c r="K254" s="5">
        <v>3.4326699999999999</v>
      </c>
      <c r="L254" s="6" cm="1">
        <f t="array" ref="L254">_xlfn.PERCENTILE.INC(_xlfn._xlws.FILTER(tabla_base[Rendimiento_por_hectarea_ton], tabla_base[tipo_cultivo]=tabla_base[[#This Row],[tipo_cultivo]]), 0.75)</f>
        <v>5.1742550000000005</v>
      </c>
      <c r="M254" s="7" t="str">
        <f>IF(tabla_base[[#This Row],[Rendimiento_por_hectarea_ton]]&gt;tabla_base[[#This Row],[percentil_0,75]],"Sí","No")</f>
        <v>No</v>
      </c>
      <c r="N254" s="3">
        <v>0.35</v>
      </c>
      <c r="O254" t="s">
        <v>44</v>
      </c>
    </row>
    <row r="255" spans="1:15" x14ac:dyDescent="0.35">
      <c r="A255" t="s">
        <v>287</v>
      </c>
      <c r="B255" s="1" t="s">
        <v>39</v>
      </c>
      <c r="C255" s="1" t="s">
        <v>40</v>
      </c>
      <c r="D255" s="1" t="s">
        <v>33</v>
      </c>
      <c r="E255" s="2">
        <v>16.64</v>
      </c>
      <c r="F255" s="3">
        <v>5.87</v>
      </c>
      <c r="G255" s="3">
        <v>21.95</v>
      </c>
      <c r="H255" s="4">
        <v>233.1</v>
      </c>
      <c r="I255" s="3">
        <v>53.77</v>
      </c>
      <c r="J255" t="s">
        <v>25</v>
      </c>
      <c r="K255" s="5">
        <v>3.0533999999999999</v>
      </c>
      <c r="L255" s="6" cm="1">
        <f t="array" ref="L255">_xlfn.PERCENTILE.INC(_xlfn._xlws.FILTER(tabla_base[Rendimiento_por_hectarea_ton], tabla_base[tipo_cultivo]=tabla_base[[#This Row],[tipo_cultivo]]), 0.75)</f>
        <v>5.1635450000000001</v>
      </c>
      <c r="M255" s="7" t="str">
        <f>IF(tabla_base[[#This Row],[Rendimiento_por_hectarea_ton]]&gt;tabla_base[[#This Row],[percentil_0,75]],"Sí","No")</f>
        <v>No</v>
      </c>
      <c r="N255" s="3">
        <v>0.88</v>
      </c>
      <c r="O255" t="s">
        <v>20</v>
      </c>
    </row>
    <row r="256" spans="1:15" x14ac:dyDescent="0.35">
      <c r="A256" t="s">
        <v>288</v>
      </c>
      <c r="B256" s="1" t="s">
        <v>16</v>
      </c>
      <c r="C256" s="1" t="s">
        <v>17</v>
      </c>
      <c r="D256" s="1" t="s">
        <v>24</v>
      </c>
      <c r="E256" s="2">
        <v>39.99</v>
      </c>
      <c r="F256" s="3">
        <v>7.05</v>
      </c>
      <c r="G256" s="3">
        <v>19.78</v>
      </c>
      <c r="H256" s="4">
        <v>230.25</v>
      </c>
      <c r="I256" s="3">
        <v>72.91</v>
      </c>
      <c r="J256" t="s">
        <v>19</v>
      </c>
      <c r="K256" s="5">
        <v>2.61653</v>
      </c>
      <c r="L256" s="6" cm="1">
        <f t="array" ref="L256">_xlfn.PERCENTILE.INC(_xlfn._xlws.FILTER(tabla_base[Rendimiento_por_hectarea_ton], tabla_base[tipo_cultivo]=tabla_base[[#This Row],[tipo_cultivo]]), 0.75)</f>
        <v>5.3984449999999997</v>
      </c>
      <c r="M256" s="7" t="str">
        <f>IF(tabla_base[[#This Row],[Rendimiento_por_hectarea_ton]]&gt;tabla_base[[#This Row],[percentil_0,75]],"Sí","No")</f>
        <v>No</v>
      </c>
      <c r="N256" s="3">
        <v>0.59</v>
      </c>
      <c r="O256" t="s">
        <v>19</v>
      </c>
    </row>
    <row r="257" spans="1:15" x14ac:dyDescent="0.35">
      <c r="A257" t="s">
        <v>289</v>
      </c>
      <c r="B257" s="1" t="s">
        <v>16</v>
      </c>
      <c r="C257" s="1" t="s">
        <v>17</v>
      </c>
      <c r="D257" s="1" t="s">
        <v>35</v>
      </c>
      <c r="E257" s="2">
        <v>16.25</v>
      </c>
      <c r="F257" s="3">
        <v>5.56</v>
      </c>
      <c r="G257" s="3">
        <v>17.14</v>
      </c>
      <c r="H257" s="4">
        <v>97.9</v>
      </c>
      <c r="I257" s="3">
        <v>41.59</v>
      </c>
      <c r="J257" t="s">
        <v>19</v>
      </c>
      <c r="K257" s="5">
        <v>3.0237500000000002</v>
      </c>
      <c r="L257" s="6" cm="1">
        <f t="array" ref="L257">_xlfn.PERCENTILE.INC(_xlfn._xlws.FILTER(tabla_base[Rendimiento_por_hectarea_ton], tabla_base[tipo_cultivo]=tabla_base[[#This Row],[tipo_cultivo]]), 0.75)</f>
        <v>5.1318025</v>
      </c>
      <c r="M257" s="7" t="str">
        <f>IF(tabla_base[[#This Row],[Rendimiento_por_hectarea_ton]]&gt;tabla_base[[#This Row],[percentil_0,75]],"Sí","No")</f>
        <v>No</v>
      </c>
      <c r="N257" s="3">
        <v>0.85</v>
      </c>
      <c r="O257" t="s">
        <v>44</v>
      </c>
    </row>
    <row r="258" spans="1:15" x14ac:dyDescent="0.35">
      <c r="A258" t="s">
        <v>290</v>
      </c>
      <c r="B258" s="1" t="s">
        <v>22</v>
      </c>
      <c r="C258" s="1" t="s">
        <v>23</v>
      </c>
      <c r="D258" s="1" t="s">
        <v>18</v>
      </c>
      <c r="E258" s="2">
        <v>26.38</v>
      </c>
      <c r="F258" s="3">
        <v>6.78</v>
      </c>
      <c r="G258" s="3">
        <v>22.22</v>
      </c>
      <c r="H258" s="4">
        <v>235.87</v>
      </c>
      <c r="I258" s="3">
        <v>84.52</v>
      </c>
      <c r="J258" t="s">
        <v>28</v>
      </c>
      <c r="K258" s="5">
        <v>5.3378300000000003</v>
      </c>
      <c r="L258" s="6" cm="1">
        <f t="array" ref="L258">_xlfn.PERCENTILE.INC(_xlfn._xlws.FILTER(tabla_base[Rendimiento_por_hectarea_ton], tabla_base[tipo_cultivo]=tabla_base[[#This Row],[tipo_cultivo]]), 0.75)</f>
        <v>5.2079399999999998</v>
      </c>
      <c r="M258" s="7" t="str">
        <f>IF(tabla_base[[#This Row],[Rendimiento_por_hectarea_ton]]&gt;tabla_base[[#This Row],[percentil_0,75]],"Sí","No")</f>
        <v>Sí</v>
      </c>
      <c r="N258" s="3">
        <v>0.67</v>
      </c>
      <c r="O258" t="s">
        <v>44</v>
      </c>
    </row>
    <row r="259" spans="1:15" x14ac:dyDescent="0.35">
      <c r="A259" t="s">
        <v>291</v>
      </c>
      <c r="B259" s="1" t="s">
        <v>39</v>
      </c>
      <c r="C259" s="1" t="s">
        <v>40</v>
      </c>
      <c r="D259" s="1" t="s">
        <v>33</v>
      </c>
      <c r="E259" s="2">
        <v>16.63</v>
      </c>
      <c r="F259" s="3">
        <v>6.55</v>
      </c>
      <c r="G259" s="3">
        <v>19.98</v>
      </c>
      <c r="H259" s="4">
        <v>206.33</v>
      </c>
      <c r="I259" s="3">
        <v>48.94</v>
      </c>
      <c r="J259" t="s">
        <v>19</v>
      </c>
      <c r="K259" s="5">
        <v>4.6979700000000006</v>
      </c>
      <c r="L259" s="6" cm="1">
        <f t="array" ref="L259">_xlfn.PERCENTILE.INC(_xlfn._xlws.FILTER(tabla_base[Rendimiento_por_hectarea_ton], tabla_base[tipo_cultivo]=tabla_base[[#This Row],[tipo_cultivo]]), 0.75)</f>
        <v>5.1635450000000001</v>
      </c>
      <c r="M259" s="7" t="str">
        <f>IF(tabla_base[[#This Row],[Rendimiento_por_hectarea_ton]]&gt;tabla_base[[#This Row],[percentil_0,75]],"Sí","No")</f>
        <v>No</v>
      </c>
      <c r="N259" s="3">
        <v>0.32</v>
      </c>
      <c r="O259" t="s">
        <v>44</v>
      </c>
    </row>
    <row r="260" spans="1:15" x14ac:dyDescent="0.35">
      <c r="A260" t="s">
        <v>292</v>
      </c>
      <c r="B260" s="1" t="s">
        <v>39</v>
      </c>
      <c r="C260" s="1" t="s">
        <v>40</v>
      </c>
      <c r="D260" s="1" t="s">
        <v>33</v>
      </c>
      <c r="E260" s="2">
        <v>27.66</v>
      </c>
      <c r="F260" s="3">
        <v>6.82</v>
      </c>
      <c r="G260" s="3">
        <v>25.68</v>
      </c>
      <c r="H260" s="4">
        <v>199.98</v>
      </c>
      <c r="I260" s="3">
        <v>86.68</v>
      </c>
      <c r="J260" t="s">
        <v>37</v>
      </c>
      <c r="K260" s="5">
        <v>4.9034700000000004</v>
      </c>
      <c r="L260" s="6" cm="1">
        <f t="array" ref="L260">_xlfn.PERCENTILE.INC(_xlfn._xlws.FILTER(tabla_base[Rendimiento_por_hectarea_ton], tabla_base[tipo_cultivo]=tabla_base[[#This Row],[tipo_cultivo]]), 0.75)</f>
        <v>5.1635450000000001</v>
      </c>
      <c r="M260" s="7" t="str">
        <f>IF(tabla_base[[#This Row],[Rendimiento_por_hectarea_ton]]&gt;tabla_base[[#This Row],[percentil_0,75]],"Sí","No")</f>
        <v>No</v>
      </c>
      <c r="N260" s="3">
        <v>0.68</v>
      </c>
      <c r="O260" t="s">
        <v>19</v>
      </c>
    </row>
    <row r="261" spans="1:15" x14ac:dyDescent="0.35">
      <c r="A261" t="s">
        <v>293</v>
      </c>
      <c r="B261" s="1" t="s">
        <v>22</v>
      </c>
      <c r="C261" s="1" t="s">
        <v>30</v>
      </c>
      <c r="D261" s="1" t="s">
        <v>33</v>
      </c>
      <c r="E261" s="2">
        <v>25.66</v>
      </c>
      <c r="F261" s="3">
        <v>6.29</v>
      </c>
      <c r="G261" s="3">
        <v>29.53</v>
      </c>
      <c r="H261" s="4">
        <v>295.74</v>
      </c>
      <c r="I261" s="3">
        <v>69.790000000000006</v>
      </c>
      <c r="J261" t="s">
        <v>37</v>
      </c>
      <c r="K261" s="5">
        <v>3.25962</v>
      </c>
      <c r="L261" s="6" cm="1">
        <f t="array" ref="L261">_xlfn.PERCENTILE.INC(_xlfn._xlws.FILTER(tabla_base[Rendimiento_por_hectarea_ton], tabla_base[tipo_cultivo]=tabla_base[[#This Row],[tipo_cultivo]]), 0.75)</f>
        <v>5.1635450000000001</v>
      </c>
      <c r="M261" s="7" t="str">
        <f>IF(tabla_base[[#This Row],[Rendimiento_por_hectarea_ton]]&gt;tabla_base[[#This Row],[percentil_0,75]],"Sí","No")</f>
        <v>No</v>
      </c>
      <c r="N261" s="3">
        <v>0.71</v>
      </c>
      <c r="O261" t="s">
        <v>44</v>
      </c>
    </row>
    <row r="262" spans="1:15" x14ac:dyDescent="0.35">
      <c r="A262" t="s">
        <v>294</v>
      </c>
      <c r="B262" s="1" t="s">
        <v>16</v>
      </c>
      <c r="C262" s="1" t="s">
        <v>17</v>
      </c>
      <c r="D262" s="1" t="s">
        <v>18</v>
      </c>
      <c r="E262" s="2">
        <v>26.11</v>
      </c>
      <c r="F262" s="3">
        <v>5.81</v>
      </c>
      <c r="G262" s="3">
        <v>20.3</v>
      </c>
      <c r="H262" s="4">
        <v>272.41000000000003</v>
      </c>
      <c r="I262" s="3">
        <v>52.49</v>
      </c>
      <c r="J262" t="s">
        <v>37</v>
      </c>
      <c r="K262" s="5">
        <v>2.3088099999999998</v>
      </c>
      <c r="L262" s="6" cm="1">
        <f t="array" ref="L262">_xlfn.PERCENTILE.INC(_xlfn._xlws.FILTER(tabla_base[Rendimiento_por_hectarea_ton], tabla_base[tipo_cultivo]=tabla_base[[#This Row],[tipo_cultivo]]), 0.75)</f>
        <v>5.2079399999999998</v>
      </c>
      <c r="M262" s="7" t="str">
        <f>IF(tabla_base[[#This Row],[Rendimiento_por_hectarea_ton]]&gt;tabla_base[[#This Row],[percentil_0,75]],"Sí","No")</f>
        <v>No</v>
      </c>
      <c r="N262" s="3">
        <v>0.76</v>
      </c>
      <c r="O262" t="s">
        <v>26</v>
      </c>
    </row>
    <row r="263" spans="1:15" x14ac:dyDescent="0.35">
      <c r="A263" t="s">
        <v>295</v>
      </c>
      <c r="B263" s="1" t="s">
        <v>39</v>
      </c>
      <c r="C263" s="1" t="s">
        <v>40</v>
      </c>
      <c r="D263" s="1" t="s">
        <v>31</v>
      </c>
      <c r="E263" s="2">
        <v>11.31</v>
      </c>
      <c r="F263" s="3">
        <v>7.12</v>
      </c>
      <c r="G263" s="3">
        <v>22.63</v>
      </c>
      <c r="H263" s="4">
        <v>245.03</v>
      </c>
      <c r="I263" s="3">
        <v>86.09</v>
      </c>
      <c r="J263" t="s">
        <v>19</v>
      </c>
      <c r="K263" s="5">
        <v>2.9068700000000001</v>
      </c>
      <c r="L263" s="6" cm="1">
        <f t="array" ref="L263">_xlfn.PERCENTILE.INC(_xlfn._xlws.FILTER(tabla_base[Rendimiento_por_hectarea_ton], tabla_base[tipo_cultivo]=tabla_base[[#This Row],[tipo_cultivo]]), 0.75)</f>
        <v>5.1742550000000005</v>
      </c>
      <c r="M263" s="7" t="str">
        <f>IF(tabla_base[[#This Row],[Rendimiento_por_hectarea_ton]]&gt;tabla_base[[#This Row],[percentil_0,75]],"Sí","No")</f>
        <v>No</v>
      </c>
      <c r="N263" s="3">
        <v>0.32</v>
      </c>
      <c r="O263" t="s">
        <v>20</v>
      </c>
    </row>
    <row r="264" spans="1:15" x14ac:dyDescent="0.35">
      <c r="A264" t="s">
        <v>296</v>
      </c>
      <c r="B264" s="1" t="s">
        <v>22</v>
      </c>
      <c r="C264" s="1" t="s">
        <v>30</v>
      </c>
      <c r="D264" s="1" t="s">
        <v>24</v>
      </c>
      <c r="E264" s="2">
        <v>29.77</v>
      </c>
      <c r="F264" s="3">
        <v>6.15</v>
      </c>
      <c r="G264" s="3">
        <v>28.96</v>
      </c>
      <c r="H264" s="4">
        <v>88.3</v>
      </c>
      <c r="I264" s="3">
        <v>73.680000000000007</v>
      </c>
      <c r="J264" t="s">
        <v>19</v>
      </c>
      <c r="K264" s="5">
        <v>3.1591300000000002</v>
      </c>
      <c r="L264" s="6" cm="1">
        <f t="array" ref="L264">_xlfn.PERCENTILE.INC(_xlfn._xlws.FILTER(tabla_base[Rendimiento_por_hectarea_ton], tabla_base[tipo_cultivo]=tabla_base[[#This Row],[tipo_cultivo]]), 0.75)</f>
        <v>5.3984449999999997</v>
      </c>
      <c r="M264" s="7" t="str">
        <f>IF(tabla_base[[#This Row],[Rendimiento_por_hectarea_ton]]&gt;tabla_base[[#This Row],[percentil_0,75]],"Sí","No")</f>
        <v>No</v>
      </c>
      <c r="N264" s="3">
        <v>0.82</v>
      </c>
      <c r="O264" t="s">
        <v>44</v>
      </c>
    </row>
    <row r="265" spans="1:15" x14ac:dyDescent="0.35">
      <c r="A265" t="s">
        <v>297</v>
      </c>
      <c r="B265" s="1" t="s">
        <v>39</v>
      </c>
      <c r="C265" s="1" t="s">
        <v>40</v>
      </c>
      <c r="D265" s="1" t="s">
        <v>33</v>
      </c>
      <c r="E265" s="2">
        <v>19.190000000000001</v>
      </c>
      <c r="F265" s="3">
        <v>6.3</v>
      </c>
      <c r="G265" s="3">
        <v>23.69</v>
      </c>
      <c r="H265" s="4">
        <v>224.47</v>
      </c>
      <c r="I265" s="3">
        <v>78.099999999999994</v>
      </c>
      <c r="J265" t="s">
        <v>25</v>
      </c>
      <c r="K265" s="5">
        <v>4.4639899999999999</v>
      </c>
      <c r="L265" s="6" cm="1">
        <f t="array" ref="L265">_xlfn.PERCENTILE.INC(_xlfn._xlws.FILTER(tabla_base[Rendimiento_por_hectarea_ton], tabla_base[tipo_cultivo]=tabla_base[[#This Row],[tipo_cultivo]]), 0.75)</f>
        <v>5.1635450000000001</v>
      </c>
      <c r="M265" s="7" t="str">
        <f>IF(tabla_base[[#This Row],[Rendimiento_por_hectarea_ton]]&gt;tabla_base[[#This Row],[percentil_0,75]],"Sí","No")</f>
        <v>No</v>
      </c>
      <c r="N265" s="3">
        <v>0.54</v>
      </c>
      <c r="O265" t="s">
        <v>19</v>
      </c>
    </row>
    <row r="266" spans="1:15" x14ac:dyDescent="0.35">
      <c r="A266" t="s">
        <v>298</v>
      </c>
      <c r="B266" s="1" t="s">
        <v>22</v>
      </c>
      <c r="C266" s="1" t="s">
        <v>30</v>
      </c>
      <c r="D266" s="1" t="s">
        <v>24</v>
      </c>
      <c r="E266" s="2">
        <v>13.14</v>
      </c>
      <c r="F266" s="3">
        <v>6.84</v>
      </c>
      <c r="G266" s="3">
        <v>23.47</v>
      </c>
      <c r="H266" s="4">
        <v>137.08000000000001</v>
      </c>
      <c r="I266" s="3">
        <v>56.04</v>
      </c>
      <c r="J266" t="s">
        <v>28</v>
      </c>
      <c r="K266" s="5">
        <v>5.9606400000000006</v>
      </c>
      <c r="L266" s="6" cm="1">
        <f t="array" ref="L266">_xlfn.PERCENTILE.INC(_xlfn._xlws.FILTER(tabla_base[Rendimiento_por_hectarea_ton], tabla_base[tipo_cultivo]=tabla_base[[#This Row],[tipo_cultivo]]), 0.75)</f>
        <v>5.3984449999999997</v>
      </c>
      <c r="M266" s="7" t="str">
        <f>IF(tabla_base[[#This Row],[Rendimiento_por_hectarea_ton]]&gt;tabla_base[[#This Row],[percentil_0,75]],"Sí","No")</f>
        <v>Sí</v>
      </c>
      <c r="N266" s="3">
        <v>0.78</v>
      </c>
      <c r="O266" t="s">
        <v>26</v>
      </c>
    </row>
    <row r="267" spans="1:15" x14ac:dyDescent="0.35">
      <c r="A267" t="s">
        <v>299</v>
      </c>
      <c r="B267" s="1" t="s">
        <v>16</v>
      </c>
      <c r="C267" s="1" t="s">
        <v>23</v>
      </c>
      <c r="D267" s="1" t="s">
        <v>31</v>
      </c>
      <c r="E267" s="2">
        <v>15.46</v>
      </c>
      <c r="F267" s="3">
        <v>6.96</v>
      </c>
      <c r="G267" s="3">
        <v>16.72</v>
      </c>
      <c r="H267" s="4">
        <v>234.9</v>
      </c>
      <c r="I267" s="3">
        <v>52.15</v>
      </c>
      <c r="J267" t="s">
        <v>25</v>
      </c>
      <c r="K267" s="5">
        <v>3.2204699999999997</v>
      </c>
      <c r="L267" s="6" cm="1">
        <f t="array" ref="L267">_xlfn.PERCENTILE.INC(_xlfn._xlws.FILTER(tabla_base[Rendimiento_por_hectarea_ton], tabla_base[tipo_cultivo]=tabla_base[[#This Row],[tipo_cultivo]]), 0.75)</f>
        <v>5.1742550000000005</v>
      </c>
      <c r="M267" s="7" t="str">
        <f>IF(tabla_base[[#This Row],[Rendimiento_por_hectarea_ton]]&gt;tabla_base[[#This Row],[percentil_0,75]],"Sí","No")</f>
        <v>No</v>
      </c>
      <c r="N267" s="3">
        <v>0.46</v>
      </c>
      <c r="O267" t="s">
        <v>20</v>
      </c>
    </row>
    <row r="268" spans="1:15" x14ac:dyDescent="0.35">
      <c r="A268" t="s">
        <v>300</v>
      </c>
      <c r="B268" s="1" t="s">
        <v>39</v>
      </c>
      <c r="C268" s="1" t="s">
        <v>40</v>
      </c>
      <c r="D268" s="1" t="s">
        <v>24</v>
      </c>
      <c r="E268" s="2">
        <v>36.26</v>
      </c>
      <c r="F268" s="3">
        <v>6.6</v>
      </c>
      <c r="G268" s="3">
        <v>27.46</v>
      </c>
      <c r="H268" s="4">
        <v>298.08</v>
      </c>
      <c r="I268" s="3">
        <v>74.75</v>
      </c>
      <c r="J268" t="s">
        <v>19</v>
      </c>
      <c r="K268" s="5">
        <v>2.6812800000000001</v>
      </c>
      <c r="L268" s="6" cm="1">
        <f t="array" ref="L268">_xlfn.PERCENTILE.INC(_xlfn._xlws.FILTER(tabla_base[Rendimiento_por_hectarea_ton], tabla_base[tipo_cultivo]=tabla_base[[#This Row],[tipo_cultivo]]), 0.75)</f>
        <v>5.3984449999999997</v>
      </c>
      <c r="M268" s="7" t="str">
        <f>IF(tabla_base[[#This Row],[Rendimiento_por_hectarea_ton]]&gt;tabla_base[[#This Row],[percentil_0,75]],"Sí","No")</f>
        <v>No</v>
      </c>
      <c r="N268" s="3">
        <v>0.78</v>
      </c>
      <c r="O268" t="s">
        <v>19</v>
      </c>
    </row>
    <row r="269" spans="1:15" x14ac:dyDescent="0.35">
      <c r="A269" t="s">
        <v>301</v>
      </c>
      <c r="B269" s="1" t="s">
        <v>16</v>
      </c>
      <c r="C269" s="1" t="s">
        <v>17</v>
      </c>
      <c r="D269" s="1" t="s">
        <v>18</v>
      </c>
      <c r="E269" s="2">
        <v>23.6</v>
      </c>
      <c r="F269" s="3">
        <v>6.04</v>
      </c>
      <c r="G269" s="3">
        <v>32.04</v>
      </c>
      <c r="H269" s="4">
        <v>215.03</v>
      </c>
      <c r="I269" s="3">
        <v>83.21</v>
      </c>
      <c r="J269" t="s">
        <v>19</v>
      </c>
      <c r="K269" s="5">
        <v>5.6154899999999994</v>
      </c>
      <c r="L269" s="6" cm="1">
        <f t="array" ref="L269">_xlfn.PERCENTILE.INC(_xlfn._xlws.FILTER(tabla_base[Rendimiento_por_hectarea_ton], tabla_base[tipo_cultivo]=tabla_base[[#This Row],[tipo_cultivo]]), 0.75)</f>
        <v>5.2079399999999998</v>
      </c>
      <c r="M269" s="7" t="str">
        <f>IF(tabla_base[[#This Row],[Rendimiento_por_hectarea_ton]]&gt;tabla_base[[#This Row],[percentil_0,75]],"Sí","No")</f>
        <v>Sí</v>
      </c>
      <c r="N269" s="3">
        <v>0.47</v>
      </c>
      <c r="O269" t="s">
        <v>20</v>
      </c>
    </row>
    <row r="270" spans="1:15" x14ac:dyDescent="0.35">
      <c r="A270" t="s">
        <v>302</v>
      </c>
      <c r="B270" s="1" t="s">
        <v>39</v>
      </c>
      <c r="C270" s="1" t="s">
        <v>40</v>
      </c>
      <c r="D270" s="1" t="s">
        <v>18</v>
      </c>
      <c r="E270" s="2">
        <v>11.39</v>
      </c>
      <c r="F270" s="3">
        <v>7.34</v>
      </c>
      <c r="G270" s="3">
        <v>21.1</v>
      </c>
      <c r="H270" s="4">
        <v>172.48</v>
      </c>
      <c r="I270" s="3">
        <v>77.22</v>
      </c>
      <c r="J270" t="s">
        <v>37</v>
      </c>
      <c r="K270" s="5">
        <v>5.2475699999999996</v>
      </c>
      <c r="L270" s="6" cm="1">
        <f t="array" ref="L270">_xlfn.PERCENTILE.INC(_xlfn._xlws.FILTER(tabla_base[Rendimiento_por_hectarea_ton], tabla_base[tipo_cultivo]=tabla_base[[#This Row],[tipo_cultivo]]), 0.75)</f>
        <v>5.2079399999999998</v>
      </c>
      <c r="M270" s="7" t="str">
        <f>IF(tabla_base[[#This Row],[Rendimiento_por_hectarea_ton]]&gt;tabla_base[[#This Row],[percentil_0,75]],"Sí","No")</f>
        <v>Sí</v>
      </c>
      <c r="N270" s="3">
        <v>0.82</v>
      </c>
      <c r="O270" t="s">
        <v>44</v>
      </c>
    </row>
    <row r="271" spans="1:15" x14ac:dyDescent="0.35">
      <c r="A271" t="s">
        <v>303</v>
      </c>
      <c r="B271" s="1" t="s">
        <v>39</v>
      </c>
      <c r="C271" s="1" t="s">
        <v>40</v>
      </c>
      <c r="D271" s="1" t="s">
        <v>31</v>
      </c>
      <c r="E271" s="2">
        <v>17.899999999999999</v>
      </c>
      <c r="F271" s="3">
        <v>6.18</v>
      </c>
      <c r="G271" s="3">
        <v>22.86</v>
      </c>
      <c r="H271" s="4">
        <v>84.32</v>
      </c>
      <c r="I271" s="3">
        <v>76.489999999999995</v>
      </c>
      <c r="J271" t="s">
        <v>25</v>
      </c>
      <c r="K271" s="5">
        <v>5.6389399999999998</v>
      </c>
      <c r="L271" s="6" cm="1">
        <f t="array" ref="L271">_xlfn.PERCENTILE.INC(_xlfn._xlws.FILTER(tabla_base[Rendimiento_por_hectarea_ton], tabla_base[tipo_cultivo]=tabla_base[[#This Row],[tipo_cultivo]]), 0.75)</f>
        <v>5.1742550000000005</v>
      </c>
      <c r="M271" s="7" t="str">
        <f>IF(tabla_base[[#This Row],[Rendimiento_por_hectarea_ton]]&gt;tabla_base[[#This Row],[percentil_0,75]],"Sí","No")</f>
        <v>Sí</v>
      </c>
      <c r="N271" s="3">
        <v>0.88</v>
      </c>
      <c r="O271" t="s">
        <v>26</v>
      </c>
    </row>
    <row r="272" spans="1:15" x14ac:dyDescent="0.35">
      <c r="A272" t="s">
        <v>304</v>
      </c>
      <c r="B272" s="1" t="s">
        <v>16</v>
      </c>
      <c r="C272" s="1" t="s">
        <v>23</v>
      </c>
      <c r="D272" s="1" t="s">
        <v>31</v>
      </c>
      <c r="E272" s="2">
        <v>34.1</v>
      </c>
      <c r="F272" s="3">
        <v>7.3</v>
      </c>
      <c r="G272" s="3">
        <v>33.19</v>
      </c>
      <c r="H272" s="4">
        <v>157.52000000000001</v>
      </c>
      <c r="I272" s="3">
        <v>85.45</v>
      </c>
      <c r="J272" t="s">
        <v>25</v>
      </c>
      <c r="K272" s="5">
        <v>2.7365399999999998</v>
      </c>
      <c r="L272" s="6" cm="1">
        <f t="array" ref="L272">_xlfn.PERCENTILE.INC(_xlfn._xlws.FILTER(tabla_base[Rendimiento_por_hectarea_ton], tabla_base[tipo_cultivo]=tabla_base[[#This Row],[tipo_cultivo]]), 0.75)</f>
        <v>5.1742550000000005</v>
      </c>
      <c r="M272" s="7" t="str">
        <f>IF(tabla_base[[#This Row],[Rendimiento_por_hectarea_ton]]&gt;tabla_base[[#This Row],[percentil_0,75]],"Sí","No")</f>
        <v>No</v>
      </c>
      <c r="N272" s="3">
        <v>0.34</v>
      </c>
      <c r="O272" t="s">
        <v>19</v>
      </c>
    </row>
    <row r="273" spans="1:15" x14ac:dyDescent="0.35">
      <c r="A273" t="s">
        <v>305</v>
      </c>
      <c r="B273" s="1" t="s">
        <v>22</v>
      </c>
      <c r="C273" s="1" t="s">
        <v>23</v>
      </c>
      <c r="D273" s="1" t="s">
        <v>31</v>
      </c>
      <c r="E273" s="2">
        <v>25.51</v>
      </c>
      <c r="F273" s="3">
        <v>7.37</v>
      </c>
      <c r="G273" s="3">
        <v>32.880000000000003</v>
      </c>
      <c r="H273" s="4">
        <v>283.31</v>
      </c>
      <c r="I273" s="3">
        <v>53.69</v>
      </c>
      <c r="J273" t="s">
        <v>28</v>
      </c>
      <c r="K273" s="5">
        <v>4.4224199999999998</v>
      </c>
      <c r="L273" s="6" cm="1">
        <f t="array" ref="L273">_xlfn.PERCENTILE.INC(_xlfn._xlws.FILTER(tabla_base[Rendimiento_por_hectarea_ton], tabla_base[tipo_cultivo]=tabla_base[[#This Row],[tipo_cultivo]]), 0.75)</f>
        <v>5.1742550000000005</v>
      </c>
      <c r="M273" s="7" t="str">
        <f>IF(tabla_base[[#This Row],[Rendimiento_por_hectarea_ton]]&gt;tabla_base[[#This Row],[percentil_0,75]],"Sí","No")</f>
        <v>No</v>
      </c>
      <c r="N273" s="3">
        <v>0.45</v>
      </c>
      <c r="O273" t="s">
        <v>19</v>
      </c>
    </row>
    <row r="274" spans="1:15" x14ac:dyDescent="0.35">
      <c r="A274" t="s">
        <v>306</v>
      </c>
      <c r="B274" s="1" t="s">
        <v>16</v>
      </c>
      <c r="C274" s="1" t="s">
        <v>17</v>
      </c>
      <c r="D274" s="1" t="s">
        <v>33</v>
      </c>
      <c r="E274" s="2">
        <v>14.69</v>
      </c>
      <c r="F274" s="3">
        <v>7.19</v>
      </c>
      <c r="G274" s="3">
        <v>24.38</v>
      </c>
      <c r="H274" s="4">
        <v>212.39</v>
      </c>
      <c r="I274" s="3">
        <v>49.2</v>
      </c>
      <c r="J274" t="s">
        <v>19</v>
      </c>
      <c r="K274" s="5">
        <v>5.05816</v>
      </c>
      <c r="L274" s="6" cm="1">
        <f t="array" ref="L274">_xlfn.PERCENTILE.INC(_xlfn._xlws.FILTER(tabla_base[Rendimiento_por_hectarea_ton], tabla_base[tipo_cultivo]=tabla_base[[#This Row],[tipo_cultivo]]), 0.75)</f>
        <v>5.1635450000000001</v>
      </c>
      <c r="M274" s="7" t="str">
        <f>IF(tabla_base[[#This Row],[Rendimiento_por_hectarea_ton]]&gt;tabla_base[[#This Row],[percentil_0,75]],"Sí","No")</f>
        <v>No</v>
      </c>
      <c r="N274" s="3">
        <v>0.77</v>
      </c>
      <c r="O274" t="s">
        <v>26</v>
      </c>
    </row>
    <row r="275" spans="1:15" x14ac:dyDescent="0.35">
      <c r="A275" t="s">
        <v>307</v>
      </c>
      <c r="B275" s="1" t="s">
        <v>16</v>
      </c>
      <c r="C275" s="1" t="s">
        <v>23</v>
      </c>
      <c r="D275" s="1" t="s">
        <v>18</v>
      </c>
      <c r="E275" s="2">
        <v>16.2</v>
      </c>
      <c r="F275" s="3">
        <v>7.41</v>
      </c>
      <c r="G275" s="3">
        <v>23.79</v>
      </c>
      <c r="H275" s="4">
        <v>204.26</v>
      </c>
      <c r="I275" s="3">
        <v>74.39</v>
      </c>
      <c r="J275" t="s">
        <v>25</v>
      </c>
      <c r="K275" s="5">
        <v>5.2973100000000004</v>
      </c>
      <c r="L275" s="6" cm="1">
        <f t="array" ref="L275">_xlfn.PERCENTILE.INC(_xlfn._xlws.FILTER(tabla_base[Rendimiento_por_hectarea_ton], tabla_base[tipo_cultivo]=tabla_base[[#This Row],[tipo_cultivo]]), 0.75)</f>
        <v>5.2079399999999998</v>
      </c>
      <c r="M275" s="7" t="str">
        <f>IF(tabla_base[[#This Row],[Rendimiento_por_hectarea_ton]]&gt;tabla_base[[#This Row],[percentil_0,75]],"Sí","No")</f>
        <v>Sí</v>
      </c>
      <c r="N275" s="3">
        <v>0.77</v>
      </c>
      <c r="O275" t="s">
        <v>26</v>
      </c>
    </row>
    <row r="276" spans="1:15" x14ac:dyDescent="0.35">
      <c r="A276" t="s">
        <v>308</v>
      </c>
      <c r="B276" s="1" t="s">
        <v>39</v>
      </c>
      <c r="C276" s="1" t="s">
        <v>40</v>
      </c>
      <c r="D276" s="1" t="s">
        <v>18</v>
      </c>
      <c r="E276" s="2">
        <v>25.81</v>
      </c>
      <c r="F276" s="3">
        <v>7.15</v>
      </c>
      <c r="G276" s="3">
        <v>15.85</v>
      </c>
      <c r="H276" s="4">
        <v>298.95999999999998</v>
      </c>
      <c r="I276" s="3">
        <v>65.94</v>
      </c>
      <c r="J276" t="s">
        <v>28</v>
      </c>
      <c r="K276" s="5">
        <v>3.16472</v>
      </c>
      <c r="L276" s="6" cm="1">
        <f t="array" ref="L276">_xlfn.PERCENTILE.INC(_xlfn._xlws.FILTER(tabla_base[Rendimiento_por_hectarea_ton], tabla_base[tipo_cultivo]=tabla_base[[#This Row],[tipo_cultivo]]), 0.75)</f>
        <v>5.2079399999999998</v>
      </c>
      <c r="M276" s="7" t="str">
        <f>IF(tabla_base[[#This Row],[Rendimiento_por_hectarea_ton]]&gt;tabla_base[[#This Row],[percentil_0,75]],"Sí","No")</f>
        <v>No</v>
      </c>
      <c r="N276" s="3">
        <v>0.8</v>
      </c>
      <c r="O276" t="s">
        <v>44</v>
      </c>
    </row>
    <row r="277" spans="1:15" x14ac:dyDescent="0.35">
      <c r="A277" t="s">
        <v>309</v>
      </c>
      <c r="B277" s="1" t="s">
        <v>22</v>
      </c>
      <c r="C277" s="1" t="s">
        <v>23</v>
      </c>
      <c r="D277" s="1" t="s">
        <v>31</v>
      </c>
      <c r="E277" s="2">
        <v>31.46</v>
      </c>
      <c r="F277" s="3">
        <v>5.61</v>
      </c>
      <c r="G277" s="3">
        <v>25.34</v>
      </c>
      <c r="H277" s="4">
        <v>85.56</v>
      </c>
      <c r="I277" s="3">
        <v>81.489999999999995</v>
      </c>
      <c r="J277" t="s">
        <v>28</v>
      </c>
      <c r="K277" s="5">
        <v>3.5722700000000001</v>
      </c>
      <c r="L277" s="6" cm="1">
        <f t="array" ref="L277">_xlfn.PERCENTILE.INC(_xlfn._xlws.FILTER(tabla_base[Rendimiento_por_hectarea_ton], tabla_base[tipo_cultivo]=tabla_base[[#This Row],[tipo_cultivo]]), 0.75)</f>
        <v>5.1742550000000005</v>
      </c>
      <c r="M277" s="7" t="str">
        <f>IF(tabla_base[[#This Row],[Rendimiento_por_hectarea_ton]]&gt;tabla_base[[#This Row],[percentil_0,75]],"Sí","No")</f>
        <v>No</v>
      </c>
      <c r="N277" s="3">
        <v>0.87</v>
      </c>
      <c r="O277" t="s">
        <v>20</v>
      </c>
    </row>
    <row r="278" spans="1:15" x14ac:dyDescent="0.35">
      <c r="A278" t="s">
        <v>310</v>
      </c>
      <c r="B278" s="1" t="s">
        <v>22</v>
      </c>
      <c r="C278" s="1" t="s">
        <v>23</v>
      </c>
      <c r="D278" s="1" t="s">
        <v>18</v>
      </c>
      <c r="E278" s="2">
        <v>18.75</v>
      </c>
      <c r="F278" s="3">
        <v>6.88</v>
      </c>
      <c r="G278" s="3">
        <v>33.14</v>
      </c>
      <c r="H278" s="4">
        <v>249.12</v>
      </c>
      <c r="I278" s="3">
        <v>75.92</v>
      </c>
      <c r="J278" t="s">
        <v>28</v>
      </c>
      <c r="K278" s="5">
        <v>4.8291199999999996</v>
      </c>
      <c r="L278" s="6" cm="1">
        <f t="array" ref="L278">_xlfn.PERCENTILE.INC(_xlfn._xlws.FILTER(tabla_base[Rendimiento_por_hectarea_ton], tabla_base[tipo_cultivo]=tabla_base[[#This Row],[tipo_cultivo]]), 0.75)</f>
        <v>5.2079399999999998</v>
      </c>
      <c r="M278" s="7" t="str">
        <f>IF(tabla_base[[#This Row],[Rendimiento_por_hectarea_ton]]&gt;tabla_base[[#This Row],[percentil_0,75]],"Sí","No")</f>
        <v>No</v>
      </c>
      <c r="N278" s="3">
        <v>0.57999999999999996</v>
      </c>
      <c r="O278" t="s">
        <v>19</v>
      </c>
    </row>
    <row r="279" spans="1:15" x14ac:dyDescent="0.35">
      <c r="A279" t="s">
        <v>311</v>
      </c>
      <c r="B279" s="1" t="s">
        <v>39</v>
      </c>
      <c r="C279" s="1" t="s">
        <v>40</v>
      </c>
      <c r="D279" s="1" t="s">
        <v>33</v>
      </c>
      <c r="E279" s="2">
        <v>11.54</v>
      </c>
      <c r="F279" s="3">
        <v>5.84</v>
      </c>
      <c r="G279" s="3">
        <v>21.7</v>
      </c>
      <c r="H279" s="4">
        <v>267.83</v>
      </c>
      <c r="I279" s="3">
        <v>83.13</v>
      </c>
      <c r="J279" t="s">
        <v>25</v>
      </c>
      <c r="K279" s="5">
        <v>3.23807</v>
      </c>
      <c r="L279" s="6" cm="1">
        <f t="array" ref="L279">_xlfn.PERCENTILE.INC(_xlfn._xlws.FILTER(tabla_base[Rendimiento_por_hectarea_ton], tabla_base[tipo_cultivo]=tabla_base[[#This Row],[tipo_cultivo]]), 0.75)</f>
        <v>5.1635450000000001</v>
      </c>
      <c r="M279" s="7" t="str">
        <f>IF(tabla_base[[#This Row],[Rendimiento_por_hectarea_ton]]&gt;tabla_base[[#This Row],[percentil_0,75]],"Sí","No")</f>
        <v>No</v>
      </c>
      <c r="N279" s="3">
        <v>0.9</v>
      </c>
      <c r="O279" t="s">
        <v>19</v>
      </c>
    </row>
    <row r="280" spans="1:15" x14ac:dyDescent="0.35">
      <c r="A280" t="s">
        <v>312</v>
      </c>
      <c r="B280" s="1" t="s">
        <v>16</v>
      </c>
      <c r="C280" s="1" t="s">
        <v>23</v>
      </c>
      <c r="D280" s="1" t="s">
        <v>18</v>
      </c>
      <c r="E280" s="2">
        <v>31.79</v>
      </c>
      <c r="F280" s="3">
        <v>6.01</v>
      </c>
      <c r="G280" s="3">
        <v>24.17</v>
      </c>
      <c r="H280" s="4">
        <v>263.85000000000002</v>
      </c>
      <c r="I280" s="3">
        <v>67.180000000000007</v>
      </c>
      <c r="J280" t="s">
        <v>19</v>
      </c>
      <c r="K280" s="5">
        <v>3.6406100000000001</v>
      </c>
      <c r="L280" s="6" cm="1">
        <f t="array" ref="L280">_xlfn.PERCENTILE.INC(_xlfn._xlws.FILTER(tabla_base[Rendimiento_por_hectarea_ton], tabla_base[tipo_cultivo]=tabla_base[[#This Row],[tipo_cultivo]]), 0.75)</f>
        <v>5.2079399999999998</v>
      </c>
      <c r="M280" s="7" t="str">
        <f>IF(tabla_base[[#This Row],[Rendimiento_por_hectarea_ton]]&gt;tabla_base[[#This Row],[percentil_0,75]],"Sí","No")</f>
        <v>No</v>
      </c>
      <c r="N280" s="3">
        <v>0.52</v>
      </c>
      <c r="O280" t="s">
        <v>26</v>
      </c>
    </row>
    <row r="281" spans="1:15" x14ac:dyDescent="0.35">
      <c r="A281" t="s">
        <v>313</v>
      </c>
      <c r="B281" s="1" t="s">
        <v>39</v>
      </c>
      <c r="C281" s="1" t="s">
        <v>40</v>
      </c>
      <c r="D281" s="1" t="s">
        <v>24</v>
      </c>
      <c r="E281" s="2">
        <v>38.700000000000003</v>
      </c>
      <c r="F281" s="3">
        <v>5.92</v>
      </c>
      <c r="G281" s="3">
        <v>18.7</v>
      </c>
      <c r="H281" s="4">
        <v>63.77</v>
      </c>
      <c r="I281" s="3">
        <v>57.45</v>
      </c>
      <c r="J281" t="s">
        <v>28</v>
      </c>
      <c r="K281" s="5">
        <v>5.68154</v>
      </c>
      <c r="L281" s="6" cm="1">
        <f t="array" ref="L281">_xlfn.PERCENTILE.INC(_xlfn._xlws.FILTER(tabla_base[Rendimiento_por_hectarea_ton], tabla_base[tipo_cultivo]=tabla_base[[#This Row],[tipo_cultivo]]), 0.75)</f>
        <v>5.3984449999999997</v>
      </c>
      <c r="M281" s="7" t="str">
        <f>IF(tabla_base[[#This Row],[Rendimiento_por_hectarea_ton]]&gt;tabla_base[[#This Row],[percentil_0,75]],"Sí","No")</f>
        <v>Sí</v>
      </c>
      <c r="N281" s="3">
        <v>0.41</v>
      </c>
      <c r="O281" t="s">
        <v>44</v>
      </c>
    </row>
    <row r="282" spans="1:15" x14ac:dyDescent="0.35">
      <c r="A282" t="s">
        <v>314</v>
      </c>
      <c r="B282" s="1" t="s">
        <v>39</v>
      </c>
      <c r="C282" s="1" t="s">
        <v>40</v>
      </c>
      <c r="D282" s="1" t="s">
        <v>24</v>
      </c>
      <c r="E282" s="2">
        <v>30.03</v>
      </c>
      <c r="F282" s="3">
        <v>6.62</v>
      </c>
      <c r="G282" s="3">
        <v>34.33</v>
      </c>
      <c r="H282" s="4">
        <v>237.33</v>
      </c>
      <c r="I282" s="3">
        <v>58.01</v>
      </c>
      <c r="J282" t="s">
        <v>37</v>
      </c>
      <c r="K282" s="5">
        <v>5.0337700000000005</v>
      </c>
      <c r="L282" s="6" cm="1">
        <f t="array" ref="L282">_xlfn.PERCENTILE.INC(_xlfn._xlws.FILTER(tabla_base[Rendimiento_por_hectarea_ton], tabla_base[tipo_cultivo]=tabla_base[[#This Row],[tipo_cultivo]]), 0.75)</f>
        <v>5.3984449999999997</v>
      </c>
      <c r="M282" s="7" t="str">
        <f>IF(tabla_base[[#This Row],[Rendimiento_por_hectarea_ton]]&gt;tabla_base[[#This Row],[percentil_0,75]],"Sí","No")</f>
        <v>No</v>
      </c>
      <c r="N282" s="3">
        <v>0.68</v>
      </c>
      <c r="O282" t="s">
        <v>20</v>
      </c>
    </row>
    <row r="283" spans="1:15" x14ac:dyDescent="0.35">
      <c r="A283" t="s">
        <v>315</v>
      </c>
      <c r="B283" s="1" t="s">
        <v>22</v>
      </c>
      <c r="C283" s="1" t="s">
        <v>30</v>
      </c>
      <c r="D283" s="1" t="s">
        <v>24</v>
      </c>
      <c r="E283" s="2">
        <v>24.48</v>
      </c>
      <c r="F283" s="3">
        <v>5.92</v>
      </c>
      <c r="G283" s="3">
        <v>19.18</v>
      </c>
      <c r="H283" s="4">
        <v>64.55</v>
      </c>
      <c r="I283" s="3">
        <v>68.569999999999993</v>
      </c>
      <c r="J283" t="s">
        <v>28</v>
      </c>
      <c r="K283" s="5">
        <v>3.1487500000000002</v>
      </c>
      <c r="L283" s="6" cm="1">
        <f t="array" ref="L283">_xlfn.PERCENTILE.INC(_xlfn._xlws.FILTER(tabla_base[Rendimiento_por_hectarea_ton], tabla_base[tipo_cultivo]=tabla_base[[#This Row],[tipo_cultivo]]), 0.75)</f>
        <v>5.3984449999999997</v>
      </c>
      <c r="M283" s="7" t="str">
        <f>IF(tabla_base[[#This Row],[Rendimiento_por_hectarea_ton]]&gt;tabla_base[[#This Row],[percentil_0,75]],"Sí","No")</f>
        <v>No</v>
      </c>
      <c r="N283" s="3">
        <v>0.39</v>
      </c>
      <c r="O283" t="s">
        <v>44</v>
      </c>
    </row>
    <row r="284" spans="1:15" x14ac:dyDescent="0.35">
      <c r="A284" t="s">
        <v>316</v>
      </c>
      <c r="B284" s="1" t="s">
        <v>39</v>
      </c>
      <c r="C284" s="1" t="s">
        <v>40</v>
      </c>
      <c r="D284" s="1" t="s">
        <v>24</v>
      </c>
      <c r="E284" s="2">
        <v>27.37</v>
      </c>
      <c r="F284" s="3">
        <v>6.96</v>
      </c>
      <c r="G284" s="3">
        <v>24.95</v>
      </c>
      <c r="H284" s="4">
        <v>252</v>
      </c>
      <c r="I284" s="3">
        <v>84.18</v>
      </c>
      <c r="J284" t="s">
        <v>37</v>
      </c>
      <c r="K284" s="5">
        <v>5.1869300000000003</v>
      </c>
      <c r="L284" s="6" cm="1">
        <f t="array" ref="L284">_xlfn.PERCENTILE.INC(_xlfn._xlws.FILTER(tabla_base[Rendimiento_por_hectarea_ton], tabla_base[tipo_cultivo]=tabla_base[[#This Row],[tipo_cultivo]]), 0.75)</f>
        <v>5.3984449999999997</v>
      </c>
      <c r="M284" s="7" t="str">
        <f>IF(tabla_base[[#This Row],[Rendimiento_por_hectarea_ton]]&gt;tabla_base[[#This Row],[percentil_0,75]],"Sí","No")</f>
        <v>No</v>
      </c>
      <c r="N284" s="3">
        <v>0.64</v>
      </c>
      <c r="O284" t="s">
        <v>26</v>
      </c>
    </row>
    <row r="285" spans="1:15" x14ac:dyDescent="0.35">
      <c r="A285" t="s">
        <v>317</v>
      </c>
      <c r="B285" s="1" t="s">
        <v>22</v>
      </c>
      <c r="C285" s="1" t="s">
        <v>30</v>
      </c>
      <c r="D285" s="1" t="s">
        <v>24</v>
      </c>
      <c r="E285" s="2">
        <v>38.21</v>
      </c>
      <c r="F285" s="3">
        <v>5.92</v>
      </c>
      <c r="G285" s="3">
        <v>27.81</v>
      </c>
      <c r="H285" s="4">
        <v>222.5</v>
      </c>
      <c r="I285" s="3">
        <v>52.72</v>
      </c>
      <c r="J285" t="s">
        <v>37</v>
      </c>
      <c r="K285" s="5">
        <v>3.3331300000000001</v>
      </c>
      <c r="L285" s="6" cm="1">
        <f t="array" ref="L285">_xlfn.PERCENTILE.INC(_xlfn._xlws.FILTER(tabla_base[Rendimiento_por_hectarea_ton], tabla_base[tipo_cultivo]=tabla_base[[#This Row],[tipo_cultivo]]), 0.75)</f>
        <v>5.3984449999999997</v>
      </c>
      <c r="M285" s="7" t="str">
        <f>IF(tabla_base[[#This Row],[Rendimiento_por_hectarea_ton]]&gt;tabla_base[[#This Row],[percentil_0,75]],"Sí","No")</f>
        <v>No</v>
      </c>
      <c r="N285" s="3">
        <v>0.55000000000000004</v>
      </c>
      <c r="O285" t="s">
        <v>26</v>
      </c>
    </row>
    <row r="286" spans="1:15" x14ac:dyDescent="0.35">
      <c r="A286" t="s">
        <v>318</v>
      </c>
      <c r="B286" s="1" t="s">
        <v>16</v>
      </c>
      <c r="C286" s="1" t="s">
        <v>23</v>
      </c>
      <c r="D286" s="1" t="s">
        <v>31</v>
      </c>
      <c r="E286" s="2">
        <v>39.18</v>
      </c>
      <c r="F286" s="3">
        <v>7.34</v>
      </c>
      <c r="G286" s="3">
        <v>24.58</v>
      </c>
      <c r="H286" s="4">
        <v>168.63</v>
      </c>
      <c r="I286" s="3">
        <v>41.78</v>
      </c>
      <c r="J286" t="s">
        <v>25</v>
      </c>
      <c r="K286" s="5">
        <v>5.1359599999999999</v>
      </c>
      <c r="L286" s="6" cm="1">
        <f t="array" ref="L286">_xlfn.PERCENTILE.INC(_xlfn._xlws.FILTER(tabla_base[Rendimiento_por_hectarea_ton], tabla_base[tipo_cultivo]=tabla_base[[#This Row],[tipo_cultivo]]), 0.75)</f>
        <v>5.1742550000000005</v>
      </c>
      <c r="M286" s="7" t="str">
        <f>IF(tabla_base[[#This Row],[Rendimiento_por_hectarea_ton]]&gt;tabla_base[[#This Row],[percentil_0,75]],"Sí","No")</f>
        <v>No</v>
      </c>
      <c r="N286" s="3">
        <v>0.37</v>
      </c>
      <c r="O286" t="s">
        <v>20</v>
      </c>
    </row>
    <row r="287" spans="1:15" x14ac:dyDescent="0.35">
      <c r="A287" t="s">
        <v>319</v>
      </c>
      <c r="B287" s="1" t="s">
        <v>39</v>
      </c>
      <c r="C287" s="1" t="s">
        <v>40</v>
      </c>
      <c r="D287" s="1" t="s">
        <v>24</v>
      </c>
      <c r="E287" s="2">
        <v>10.66</v>
      </c>
      <c r="F287" s="3">
        <v>6.65</v>
      </c>
      <c r="G287" s="3">
        <v>21.63</v>
      </c>
      <c r="H287" s="4">
        <v>279.05</v>
      </c>
      <c r="I287" s="3">
        <v>79.790000000000006</v>
      </c>
      <c r="J287" t="s">
        <v>25</v>
      </c>
      <c r="K287" s="5">
        <v>4.1370899999999997</v>
      </c>
      <c r="L287" s="6" cm="1">
        <f t="array" ref="L287">_xlfn.PERCENTILE.INC(_xlfn._xlws.FILTER(tabla_base[Rendimiento_por_hectarea_ton], tabla_base[tipo_cultivo]=tabla_base[[#This Row],[tipo_cultivo]]), 0.75)</f>
        <v>5.3984449999999997</v>
      </c>
      <c r="M287" s="7" t="str">
        <f>IF(tabla_base[[#This Row],[Rendimiento_por_hectarea_ton]]&gt;tabla_base[[#This Row],[percentil_0,75]],"Sí","No")</f>
        <v>No</v>
      </c>
      <c r="N287" s="3">
        <v>0.4</v>
      </c>
      <c r="O287" t="s">
        <v>26</v>
      </c>
    </row>
    <row r="288" spans="1:15" x14ac:dyDescent="0.35">
      <c r="A288" t="s">
        <v>320</v>
      </c>
      <c r="B288" s="1" t="s">
        <v>22</v>
      </c>
      <c r="C288" s="1" t="s">
        <v>30</v>
      </c>
      <c r="D288" s="1" t="s">
        <v>18</v>
      </c>
      <c r="E288" s="2">
        <v>19.5</v>
      </c>
      <c r="F288" s="3">
        <v>5.67</v>
      </c>
      <c r="G288" s="3">
        <v>32.54</v>
      </c>
      <c r="H288" s="4">
        <v>142.9</v>
      </c>
      <c r="I288" s="3">
        <v>81.47</v>
      </c>
      <c r="J288" t="s">
        <v>37</v>
      </c>
      <c r="K288" s="5">
        <v>5.6534199999999997</v>
      </c>
      <c r="L288" s="6" cm="1">
        <f t="array" ref="L288">_xlfn.PERCENTILE.INC(_xlfn._xlws.FILTER(tabla_base[Rendimiento_por_hectarea_ton], tabla_base[tipo_cultivo]=tabla_base[[#This Row],[tipo_cultivo]]), 0.75)</f>
        <v>5.2079399999999998</v>
      </c>
      <c r="M288" s="7" t="str">
        <f>IF(tabla_base[[#This Row],[Rendimiento_por_hectarea_ton]]&gt;tabla_base[[#This Row],[percentil_0,75]],"Sí","No")</f>
        <v>Sí</v>
      </c>
      <c r="N288" s="3">
        <v>0.72</v>
      </c>
      <c r="O288" t="s">
        <v>20</v>
      </c>
    </row>
    <row r="289" spans="1:15" x14ac:dyDescent="0.35">
      <c r="A289" t="s">
        <v>321</v>
      </c>
      <c r="B289" s="1" t="s">
        <v>16</v>
      </c>
      <c r="C289" s="1" t="s">
        <v>23</v>
      </c>
      <c r="D289" s="1" t="s">
        <v>31</v>
      </c>
      <c r="E289" s="2">
        <v>42.33</v>
      </c>
      <c r="F289" s="3">
        <v>6.96</v>
      </c>
      <c r="G289" s="3">
        <v>25.47</v>
      </c>
      <c r="H289" s="4">
        <v>243.88</v>
      </c>
      <c r="I289" s="3">
        <v>47.16</v>
      </c>
      <c r="J289" t="s">
        <v>25</v>
      </c>
      <c r="K289" s="5">
        <v>5.4592399999999994</v>
      </c>
      <c r="L289" s="6" cm="1">
        <f t="array" ref="L289">_xlfn.PERCENTILE.INC(_xlfn._xlws.FILTER(tabla_base[Rendimiento_por_hectarea_ton], tabla_base[tipo_cultivo]=tabla_base[[#This Row],[tipo_cultivo]]), 0.75)</f>
        <v>5.1742550000000005</v>
      </c>
      <c r="M289" s="7" t="str">
        <f>IF(tabla_base[[#This Row],[Rendimiento_por_hectarea_ton]]&gt;tabla_base[[#This Row],[percentil_0,75]],"Sí","No")</f>
        <v>Sí</v>
      </c>
      <c r="N289" s="3">
        <v>0.44</v>
      </c>
      <c r="O289" t="s">
        <v>44</v>
      </c>
    </row>
    <row r="290" spans="1:15" x14ac:dyDescent="0.35">
      <c r="A290" t="s">
        <v>322</v>
      </c>
      <c r="B290" s="1" t="s">
        <v>22</v>
      </c>
      <c r="C290" s="1" t="s">
        <v>30</v>
      </c>
      <c r="D290" s="1" t="s">
        <v>33</v>
      </c>
      <c r="E290" s="2">
        <v>41.12</v>
      </c>
      <c r="F290" s="3">
        <v>5.71</v>
      </c>
      <c r="G290" s="3">
        <v>30.32</v>
      </c>
      <c r="H290" s="4">
        <v>236.39</v>
      </c>
      <c r="I290" s="3">
        <v>41.12</v>
      </c>
      <c r="J290" t="s">
        <v>25</v>
      </c>
      <c r="K290" s="5">
        <v>3.2765999999999997</v>
      </c>
      <c r="L290" s="6" cm="1">
        <f t="array" ref="L290">_xlfn.PERCENTILE.INC(_xlfn._xlws.FILTER(tabla_base[Rendimiento_por_hectarea_ton], tabla_base[tipo_cultivo]=tabla_base[[#This Row],[tipo_cultivo]]), 0.75)</f>
        <v>5.1635450000000001</v>
      </c>
      <c r="M290" s="7" t="str">
        <f>IF(tabla_base[[#This Row],[Rendimiento_por_hectarea_ton]]&gt;tabla_base[[#This Row],[percentil_0,75]],"Sí","No")</f>
        <v>No</v>
      </c>
      <c r="N290" s="3">
        <v>0.37</v>
      </c>
      <c r="O290" t="s">
        <v>26</v>
      </c>
    </row>
    <row r="291" spans="1:15" x14ac:dyDescent="0.35">
      <c r="A291" t="s">
        <v>323</v>
      </c>
      <c r="B291" s="1" t="s">
        <v>16</v>
      </c>
      <c r="C291" s="1" t="s">
        <v>17</v>
      </c>
      <c r="D291" s="1" t="s">
        <v>24</v>
      </c>
      <c r="E291" s="2">
        <v>29.59</v>
      </c>
      <c r="F291" s="3">
        <v>5.7</v>
      </c>
      <c r="G291" s="3">
        <v>25.85</v>
      </c>
      <c r="H291" s="4">
        <v>187.34</v>
      </c>
      <c r="I291" s="3">
        <v>53.55</v>
      </c>
      <c r="J291" t="s">
        <v>37</v>
      </c>
      <c r="K291" s="5">
        <v>5.5689700000000002</v>
      </c>
      <c r="L291" s="6" cm="1">
        <f t="array" ref="L291">_xlfn.PERCENTILE.INC(_xlfn._xlws.FILTER(tabla_base[Rendimiento_por_hectarea_ton], tabla_base[tipo_cultivo]=tabla_base[[#This Row],[tipo_cultivo]]), 0.75)</f>
        <v>5.3984449999999997</v>
      </c>
      <c r="M291" s="7" t="str">
        <f>IF(tabla_base[[#This Row],[Rendimiento_por_hectarea_ton]]&gt;tabla_base[[#This Row],[percentil_0,75]],"Sí","No")</f>
        <v>Sí</v>
      </c>
      <c r="N291" s="3">
        <v>0.65</v>
      </c>
      <c r="O291" t="s">
        <v>20</v>
      </c>
    </row>
    <row r="292" spans="1:15" x14ac:dyDescent="0.35">
      <c r="A292" t="s">
        <v>324</v>
      </c>
      <c r="B292" s="1" t="s">
        <v>16</v>
      </c>
      <c r="C292" s="1" t="s">
        <v>17</v>
      </c>
      <c r="D292" s="1" t="s">
        <v>33</v>
      </c>
      <c r="E292" s="2">
        <v>11.88</v>
      </c>
      <c r="F292" s="3">
        <v>6.35</v>
      </c>
      <c r="G292" s="3">
        <v>18.579999999999998</v>
      </c>
      <c r="H292" s="4">
        <v>199.03</v>
      </c>
      <c r="I292" s="3">
        <v>69.64</v>
      </c>
      <c r="J292" t="s">
        <v>19</v>
      </c>
      <c r="K292" s="5">
        <v>4.8515899999999998</v>
      </c>
      <c r="L292" s="6" cm="1">
        <f t="array" ref="L292">_xlfn.PERCENTILE.INC(_xlfn._xlws.FILTER(tabla_base[Rendimiento_por_hectarea_ton], tabla_base[tipo_cultivo]=tabla_base[[#This Row],[tipo_cultivo]]), 0.75)</f>
        <v>5.1635450000000001</v>
      </c>
      <c r="M292" s="7" t="str">
        <f>IF(tabla_base[[#This Row],[Rendimiento_por_hectarea_ton]]&gt;tabla_base[[#This Row],[percentil_0,75]],"Sí","No")</f>
        <v>No</v>
      </c>
      <c r="N292" s="3">
        <v>0.49</v>
      </c>
      <c r="O292" t="s">
        <v>20</v>
      </c>
    </row>
    <row r="293" spans="1:15" x14ac:dyDescent="0.35">
      <c r="A293" t="s">
        <v>325</v>
      </c>
      <c r="B293" s="1" t="s">
        <v>39</v>
      </c>
      <c r="C293" s="1" t="s">
        <v>40</v>
      </c>
      <c r="D293" s="1" t="s">
        <v>35</v>
      </c>
      <c r="E293" s="2">
        <v>13.25</v>
      </c>
      <c r="F293" s="3">
        <v>7.1</v>
      </c>
      <c r="G293" s="3">
        <v>28.97</v>
      </c>
      <c r="H293" s="4">
        <v>74.319999999999993</v>
      </c>
      <c r="I293" s="3">
        <v>55.52</v>
      </c>
      <c r="J293" t="s">
        <v>19</v>
      </c>
      <c r="K293" s="5">
        <v>5.5827999999999998</v>
      </c>
      <c r="L293" s="6" cm="1">
        <f t="array" ref="L293">_xlfn.PERCENTILE.INC(_xlfn._xlws.FILTER(tabla_base[Rendimiento_por_hectarea_ton], tabla_base[tipo_cultivo]=tabla_base[[#This Row],[tipo_cultivo]]), 0.75)</f>
        <v>5.1318025</v>
      </c>
      <c r="M293" s="7" t="str">
        <f>IF(tabla_base[[#This Row],[Rendimiento_por_hectarea_ton]]&gt;tabla_base[[#This Row],[percentil_0,75]],"Sí","No")</f>
        <v>Sí</v>
      </c>
      <c r="N293" s="3">
        <v>0.47</v>
      </c>
      <c r="O293" t="s">
        <v>44</v>
      </c>
    </row>
    <row r="294" spans="1:15" x14ac:dyDescent="0.35">
      <c r="A294" t="s">
        <v>326</v>
      </c>
      <c r="B294" s="1" t="s">
        <v>22</v>
      </c>
      <c r="C294" s="1" t="s">
        <v>30</v>
      </c>
      <c r="D294" s="1" t="s">
        <v>33</v>
      </c>
      <c r="E294" s="2">
        <v>27.06</v>
      </c>
      <c r="F294" s="3">
        <v>5.63</v>
      </c>
      <c r="G294" s="3">
        <v>17.260000000000002</v>
      </c>
      <c r="H294" s="4">
        <v>169.66</v>
      </c>
      <c r="I294" s="3">
        <v>82.29</v>
      </c>
      <c r="J294" t="s">
        <v>37</v>
      </c>
      <c r="K294" s="5">
        <v>5.2702099999999996</v>
      </c>
      <c r="L294" s="6" cm="1">
        <f t="array" ref="L294">_xlfn.PERCENTILE.INC(_xlfn._xlws.FILTER(tabla_base[Rendimiento_por_hectarea_ton], tabla_base[tipo_cultivo]=tabla_base[[#This Row],[tipo_cultivo]]), 0.75)</f>
        <v>5.1635450000000001</v>
      </c>
      <c r="M294" s="7" t="str">
        <f>IF(tabla_base[[#This Row],[Rendimiento_por_hectarea_ton]]&gt;tabla_base[[#This Row],[percentil_0,75]],"Sí","No")</f>
        <v>Sí</v>
      </c>
      <c r="N294" s="3">
        <v>0.86</v>
      </c>
      <c r="O294" t="s">
        <v>19</v>
      </c>
    </row>
    <row r="295" spans="1:15" x14ac:dyDescent="0.35">
      <c r="A295" t="s">
        <v>327</v>
      </c>
      <c r="B295" s="1" t="s">
        <v>39</v>
      </c>
      <c r="C295" s="1" t="s">
        <v>40</v>
      </c>
      <c r="D295" s="1" t="s">
        <v>33</v>
      </c>
      <c r="E295" s="2">
        <v>24.03</v>
      </c>
      <c r="F295" s="3">
        <v>6.33</v>
      </c>
      <c r="G295" s="3">
        <v>27.42</v>
      </c>
      <c r="H295" s="4">
        <v>186.99</v>
      </c>
      <c r="I295" s="3">
        <v>88.69</v>
      </c>
      <c r="J295" t="s">
        <v>37</v>
      </c>
      <c r="K295" s="5">
        <v>5.92082</v>
      </c>
      <c r="L295" s="6" cm="1">
        <f t="array" ref="L295">_xlfn.PERCENTILE.INC(_xlfn._xlws.FILTER(tabla_base[Rendimiento_por_hectarea_ton], tabla_base[tipo_cultivo]=tabla_base[[#This Row],[tipo_cultivo]]), 0.75)</f>
        <v>5.1635450000000001</v>
      </c>
      <c r="M295" s="7" t="str">
        <f>IF(tabla_base[[#This Row],[Rendimiento_por_hectarea_ton]]&gt;tabla_base[[#This Row],[percentil_0,75]],"Sí","No")</f>
        <v>Sí</v>
      </c>
      <c r="N295" s="3">
        <v>0.36</v>
      </c>
      <c r="O295" t="s">
        <v>44</v>
      </c>
    </row>
    <row r="296" spans="1:15" x14ac:dyDescent="0.35">
      <c r="A296" t="s">
        <v>328</v>
      </c>
      <c r="B296" s="1" t="s">
        <v>39</v>
      </c>
      <c r="C296" s="1" t="s">
        <v>40</v>
      </c>
      <c r="D296" s="1" t="s">
        <v>33</v>
      </c>
      <c r="E296" s="2">
        <v>14</v>
      </c>
      <c r="F296" s="3">
        <v>6.69</v>
      </c>
      <c r="G296" s="3">
        <v>21.51</v>
      </c>
      <c r="H296" s="4">
        <v>74.41</v>
      </c>
      <c r="I296" s="3">
        <v>62.26</v>
      </c>
      <c r="J296" t="s">
        <v>19</v>
      </c>
      <c r="K296" s="5">
        <v>5.0853700000000002</v>
      </c>
      <c r="L296" s="6" cm="1">
        <f t="array" ref="L296">_xlfn.PERCENTILE.INC(_xlfn._xlws.FILTER(tabla_base[Rendimiento_por_hectarea_ton], tabla_base[tipo_cultivo]=tabla_base[[#This Row],[tipo_cultivo]]), 0.75)</f>
        <v>5.1635450000000001</v>
      </c>
      <c r="M296" s="7" t="str">
        <f>IF(tabla_base[[#This Row],[Rendimiento_por_hectarea_ton]]&gt;tabla_base[[#This Row],[percentil_0,75]],"Sí","No")</f>
        <v>No</v>
      </c>
      <c r="N296" s="3">
        <v>0.87</v>
      </c>
      <c r="O296" t="s">
        <v>26</v>
      </c>
    </row>
    <row r="297" spans="1:15" x14ac:dyDescent="0.35">
      <c r="A297" t="s">
        <v>329</v>
      </c>
      <c r="B297" s="1" t="s">
        <v>16</v>
      </c>
      <c r="C297" s="1" t="s">
        <v>23</v>
      </c>
      <c r="D297" s="1" t="s">
        <v>24</v>
      </c>
      <c r="E297" s="2">
        <v>41.61</v>
      </c>
      <c r="F297" s="3">
        <v>6.77</v>
      </c>
      <c r="G297" s="3">
        <v>15</v>
      </c>
      <c r="H297" s="4">
        <v>86.68</v>
      </c>
      <c r="I297" s="3">
        <v>47.46</v>
      </c>
      <c r="J297" t="s">
        <v>19</v>
      </c>
      <c r="K297" s="5">
        <v>5.5096999999999996</v>
      </c>
      <c r="L297" s="6" cm="1">
        <f t="array" ref="L297">_xlfn.PERCENTILE.INC(_xlfn._xlws.FILTER(tabla_base[Rendimiento_por_hectarea_ton], tabla_base[tipo_cultivo]=tabla_base[[#This Row],[tipo_cultivo]]), 0.75)</f>
        <v>5.3984449999999997</v>
      </c>
      <c r="M297" s="7" t="str">
        <f>IF(tabla_base[[#This Row],[Rendimiento_por_hectarea_ton]]&gt;tabla_base[[#This Row],[percentil_0,75]],"Sí","No")</f>
        <v>Sí</v>
      </c>
      <c r="N297" s="3">
        <v>0.84</v>
      </c>
      <c r="O297" t="s">
        <v>44</v>
      </c>
    </row>
    <row r="298" spans="1:15" x14ac:dyDescent="0.35">
      <c r="A298" t="s">
        <v>330</v>
      </c>
      <c r="B298" s="1" t="s">
        <v>22</v>
      </c>
      <c r="C298" s="1" t="s">
        <v>30</v>
      </c>
      <c r="D298" s="1" t="s">
        <v>18</v>
      </c>
      <c r="E298" s="2">
        <v>30.4</v>
      </c>
      <c r="F298" s="3">
        <v>6.72</v>
      </c>
      <c r="G298" s="3">
        <v>25.21</v>
      </c>
      <c r="H298" s="4">
        <v>261.91000000000003</v>
      </c>
      <c r="I298" s="3">
        <v>82.63</v>
      </c>
      <c r="J298" t="s">
        <v>28</v>
      </c>
      <c r="K298" s="5">
        <v>3.1288400000000003</v>
      </c>
      <c r="L298" s="6" cm="1">
        <f t="array" ref="L298">_xlfn.PERCENTILE.INC(_xlfn._xlws.FILTER(tabla_base[Rendimiento_por_hectarea_ton], tabla_base[tipo_cultivo]=tabla_base[[#This Row],[tipo_cultivo]]), 0.75)</f>
        <v>5.2079399999999998</v>
      </c>
      <c r="M298" s="7" t="str">
        <f>IF(tabla_base[[#This Row],[Rendimiento_por_hectarea_ton]]&gt;tabla_base[[#This Row],[percentil_0,75]],"Sí","No")</f>
        <v>No</v>
      </c>
      <c r="N298" s="3">
        <v>0.54</v>
      </c>
      <c r="O298" t="s">
        <v>20</v>
      </c>
    </row>
    <row r="299" spans="1:15" x14ac:dyDescent="0.35">
      <c r="A299" t="s">
        <v>331</v>
      </c>
      <c r="B299" s="1" t="s">
        <v>22</v>
      </c>
      <c r="C299" s="1" t="s">
        <v>23</v>
      </c>
      <c r="D299" s="1" t="s">
        <v>33</v>
      </c>
      <c r="E299" s="2">
        <v>23.35</v>
      </c>
      <c r="F299" s="3">
        <v>6.59</v>
      </c>
      <c r="G299" s="3">
        <v>28.25</v>
      </c>
      <c r="H299" s="4">
        <v>168.72</v>
      </c>
      <c r="I299" s="3">
        <v>49.41</v>
      </c>
      <c r="J299" t="s">
        <v>37</v>
      </c>
      <c r="K299" s="5">
        <v>2.0464100000000003</v>
      </c>
      <c r="L299" s="6" cm="1">
        <f t="array" ref="L299">_xlfn.PERCENTILE.INC(_xlfn._xlws.FILTER(tabla_base[Rendimiento_por_hectarea_ton], tabla_base[tipo_cultivo]=tabla_base[[#This Row],[tipo_cultivo]]), 0.75)</f>
        <v>5.1635450000000001</v>
      </c>
      <c r="M299" s="7" t="str">
        <f>IF(tabla_base[[#This Row],[Rendimiento_por_hectarea_ton]]&gt;tabla_base[[#This Row],[percentil_0,75]],"Sí","No")</f>
        <v>No</v>
      </c>
      <c r="N299" s="3">
        <v>0.3</v>
      </c>
      <c r="O299" t="s">
        <v>19</v>
      </c>
    </row>
    <row r="300" spans="1:15" x14ac:dyDescent="0.35">
      <c r="A300" t="s">
        <v>332</v>
      </c>
      <c r="B300" s="1" t="s">
        <v>16</v>
      </c>
      <c r="C300" s="1" t="s">
        <v>23</v>
      </c>
      <c r="D300" s="1" t="s">
        <v>18</v>
      </c>
      <c r="E300" s="2">
        <v>14.8</v>
      </c>
      <c r="F300" s="3">
        <v>7.11</v>
      </c>
      <c r="G300" s="3">
        <v>32.200000000000003</v>
      </c>
      <c r="H300" s="4">
        <v>273.39999999999998</v>
      </c>
      <c r="I300" s="3">
        <v>74.77</v>
      </c>
      <c r="J300" t="s">
        <v>25</v>
      </c>
      <c r="K300" s="5">
        <v>3.5388600000000001</v>
      </c>
      <c r="L300" s="6" cm="1">
        <f t="array" ref="L300">_xlfn.PERCENTILE.INC(_xlfn._xlws.FILTER(tabla_base[Rendimiento_por_hectarea_ton], tabla_base[tipo_cultivo]=tabla_base[[#This Row],[tipo_cultivo]]), 0.75)</f>
        <v>5.2079399999999998</v>
      </c>
      <c r="M300" s="7" t="str">
        <f>IF(tabla_base[[#This Row],[Rendimiento_por_hectarea_ton]]&gt;tabla_base[[#This Row],[percentil_0,75]],"Sí","No")</f>
        <v>No</v>
      </c>
      <c r="N300" s="3">
        <v>0.41</v>
      </c>
      <c r="O300" t="s">
        <v>20</v>
      </c>
    </row>
    <row r="301" spans="1:15" x14ac:dyDescent="0.35">
      <c r="A301" t="s">
        <v>333</v>
      </c>
      <c r="B301" s="1" t="s">
        <v>39</v>
      </c>
      <c r="C301" s="1" t="s">
        <v>40</v>
      </c>
      <c r="D301" s="1" t="s">
        <v>31</v>
      </c>
      <c r="E301" s="2">
        <v>24.38</v>
      </c>
      <c r="F301" s="3">
        <v>6.59</v>
      </c>
      <c r="G301" s="3">
        <v>22.34</v>
      </c>
      <c r="H301" s="4">
        <v>294.56</v>
      </c>
      <c r="I301" s="3">
        <v>68.41</v>
      </c>
      <c r="J301" t="s">
        <v>28</v>
      </c>
      <c r="K301" s="5">
        <v>4.9207399999999994</v>
      </c>
      <c r="L301" s="6" cm="1">
        <f t="array" ref="L301">_xlfn.PERCENTILE.INC(_xlfn._xlws.FILTER(tabla_base[Rendimiento_por_hectarea_ton], tabla_base[tipo_cultivo]=tabla_base[[#This Row],[tipo_cultivo]]), 0.75)</f>
        <v>5.1742550000000005</v>
      </c>
      <c r="M301" s="7" t="str">
        <f>IF(tabla_base[[#This Row],[Rendimiento_por_hectarea_ton]]&gt;tabla_base[[#This Row],[percentil_0,75]],"Sí","No")</f>
        <v>No</v>
      </c>
      <c r="N301" s="3">
        <v>0.32</v>
      </c>
      <c r="O301" t="s">
        <v>26</v>
      </c>
    </row>
    <row r="302" spans="1:15" x14ac:dyDescent="0.35">
      <c r="A302" t="s">
        <v>334</v>
      </c>
      <c r="B302" s="1" t="s">
        <v>39</v>
      </c>
      <c r="C302" s="1" t="s">
        <v>40</v>
      </c>
      <c r="D302" s="1" t="s">
        <v>18</v>
      </c>
      <c r="E302" s="2">
        <v>28.32</v>
      </c>
      <c r="F302" s="3">
        <v>6.72</v>
      </c>
      <c r="G302" s="3">
        <v>19.899999999999999</v>
      </c>
      <c r="H302" s="4">
        <v>207.67</v>
      </c>
      <c r="I302" s="3">
        <v>73.19</v>
      </c>
      <c r="J302" t="s">
        <v>37</v>
      </c>
      <c r="K302" s="5">
        <v>2.0431300000000001</v>
      </c>
      <c r="L302" s="6" cm="1">
        <f t="array" ref="L302">_xlfn.PERCENTILE.INC(_xlfn._xlws.FILTER(tabla_base[Rendimiento_por_hectarea_ton], tabla_base[tipo_cultivo]=tabla_base[[#This Row],[tipo_cultivo]]), 0.75)</f>
        <v>5.2079399999999998</v>
      </c>
      <c r="M302" s="7" t="str">
        <f>IF(tabla_base[[#This Row],[Rendimiento_por_hectarea_ton]]&gt;tabla_base[[#This Row],[percentil_0,75]],"Sí","No")</f>
        <v>No</v>
      </c>
      <c r="N302" s="3">
        <v>0.88</v>
      </c>
      <c r="O302" t="s">
        <v>44</v>
      </c>
    </row>
    <row r="303" spans="1:15" x14ac:dyDescent="0.35">
      <c r="A303" t="s">
        <v>335</v>
      </c>
      <c r="B303" s="1" t="s">
        <v>22</v>
      </c>
      <c r="C303" s="1" t="s">
        <v>30</v>
      </c>
      <c r="D303" s="1" t="s">
        <v>31</v>
      </c>
      <c r="E303" s="2">
        <v>20.12</v>
      </c>
      <c r="F303" s="3">
        <v>5.57</v>
      </c>
      <c r="G303" s="3">
        <v>33.46</v>
      </c>
      <c r="H303" s="4">
        <v>237.36</v>
      </c>
      <c r="I303" s="3">
        <v>76.349999999999994</v>
      </c>
      <c r="J303" t="s">
        <v>28</v>
      </c>
      <c r="K303" s="5">
        <v>4.6252800000000001</v>
      </c>
      <c r="L303" s="6" cm="1">
        <f t="array" ref="L303">_xlfn.PERCENTILE.INC(_xlfn._xlws.FILTER(tabla_base[Rendimiento_por_hectarea_ton], tabla_base[tipo_cultivo]=tabla_base[[#This Row],[tipo_cultivo]]), 0.75)</f>
        <v>5.1742550000000005</v>
      </c>
      <c r="M303" s="7" t="str">
        <f>IF(tabla_base[[#This Row],[Rendimiento_por_hectarea_ton]]&gt;tabla_base[[#This Row],[percentil_0,75]],"Sí","No")</f>
        <v>No</v>
      </c>
      <c r="N303" s="3">
        <v>0.9</v>
      </c>
      <c r="O303" t="s">
        <v>19</v>
      </c>
    </row>
    <row r="304" spans="1:15" x14ac:dyDescent="0.35">
      <c r="A304" t="s">
        <v>336</v>
      </c>
      <c r="B304" s="1" t="s">
        <v>16</v>
      </c>
      <c r="C304" s="1" t="s">
        <v>23</v>
      </c>
      <c r="D304" s="1" t="s">
        <v>24</v>
      </c>
      <c r="E304" s="2">
        <v>12.69</v>
      </c>
      <c r="F304" s="3">
        <v>7.07</v>
      </c>
      <c r="G304" s="3">
        <v>20.04</v>
      </c>
      <c r="H304" s="4">
        <v>203.95</v>
      </c>
      <c r="I304" s="3">
        <v>53.76</v>
      </c>
      <c r="J304" t="s">
        <v>28</v>
      </c>
      <c r="K304" s="5">
        <v>4.6366199999999997</v>
      </c>
      <c r="L304" s="6" cm="1">
        <f t="array" ref="L304">_xlfn.PERCENTILE.INC(_xlfn._xlws.FILTER(tabla_base[Rendimiento_por_hectarea_ton], tabla_base[tipo_cultivo]=tabla_base[[#This Row],[tipo_cultivo]]), 0.75)</f>
        <v>5.3984449999999997</v>
      </c>
      <c r="M304" s="7" t="str">
        <f>IF(tabla_base[[#This Row],[Rendimiento_por_hectarea_ton]]&gt;tabla_base[[#This Row],[percentil_0,75]],"Sí","No")</f>
        <v>No</v>
      </c>
      <c r="N304" s="3">
        <v>0.38</v>
      </c>
      <c r="O304" t="s">
        <v>19</v>
      </c>
    </row>
    <row r="305" spans="1:15" x14ac:dyDescent="0.35">
      <c r="A305" t="s">
        <v>337</v>
      </c>
      <c r="B305" s="1" t="s">
        <v>16</v>
      </c>
      <c r="C305" s="1" t="s">
        <v>23</v>
      </c>
      <c r="D305" s="1" t="s">
        <v>24</v>
      </c>
      <c r="E305" s="2">
        <v>40.17</v>
      </c>
      <c r="F305" s="3">
        <v>6.19</v>
      </c>
      <c r="G305" s="3">
        <v>16.690000000000001</v>
      </c>
      <c r="H305" s="4">
        <v>86.27</v>
      </c>
      <c r="I305" s="3">
        <v>86.7</v>
      </c>
      <c r="J305" t="s">
        <v>19</v>
      </c>
      <c r="K305" s="5">
        <v>4.9039999999999999</v>
      </c>
      <c r="L305" s="6" cm="1">
        <f t="array" ref="L305">_xlfn.PERCENTILE.INC(_xlfn._xlws.FILTER(tabla_base[Rendimiento_por_hectarea_ton], tabla_base[tipo_cultivo]=tabla_base[[#This Row],[tipo_cultivo]]), 0.75)</f>
        <v>5.3984449999999997</v>
      </c>
      <c r="M305" s="7" t="str">
        <f>IF(tabla_base[[#This Row],[Rendimiento_por_hectarea_ton]]&gt;tabla_base[[#This Row],[percentil_0,75]],"Sí","No")</f>
        <v>No</v>
      </c>
      <c r="N305" s="3">
        <v>0.76</v>
      </c>
      <c r="O305" t="s">
        <v>20</v>
      </c>
    </row>
    <row r="306" spans="1:15" x14ac:dyDescent="0.35">
      <c r="A306" t="s">
        <v>338</v>
      </c>
      <c r="B306" s="1" t="s">
        <v>16</v>
      </c>
      <c r="C306" s="1" t="s">
        <v>17</v>
      </c>
      <c r="D306" s="1" t="s">
        <v>18</v>
      </c>
      <c r="E306" s="2">
        <v>15.87</v>
      </c>
      <c r="F306" s="3">
        <v>6.3</v>
      </c>
      <c r="G306" s="3">
        <v>21.03</v>
      </c>
      <c r="H306" s="4">
        <v>236.54</v>
      </c>
      <c r="I306" s="3">
        <v>77.62</v>
      </c>
      <c r="J306" t="s">
        <v>19</v>
      </c>
      <c r="K306" s="5">
        <v>4.1217700000000006</v>
      </c>
      <c r="L306" s="6" cm="1">
        <f t="array" ref="L306">_xlfn.PERCENTILE.INC(_xlfn._xlws.FILTER(tabla_base[Rendimiento_por_hectarea_ton], tabla_base[tipo_cultivo]=tabla_base[[#This Row],[tipo_cultivo]]), 0.75)</f>
        <v>5.2079399999999998</v>
      </c>
      <c r="M306" s="7" t="str">
        <f>IF(tabla_base[[#This Row],[Rendimiento_por_hectarea_ton]]&gt;tabla_base[[#This Row],[percentil_0,75]],"Sí","No")</f>
        <v>No</v>
      </c>
      <c r="N306" s="3">
        <v>0.66</v>
      </c>
      <c r="O306" t="s">
        <v>20</v>
      </c>
    </row>
    <row r="307" spans="1:15" x14ac:dyDescent="0.35">
      <c r="A307" t="s">
        <v>339</v>
      </c>
      <c r="B307" s="1" t="s">
        <v>39</v>
      </c>
      <c r="C307" s="1" t="s">
        <v>40</v>
      </c>
      <c r="D307" s="1" t="s">
        <v>18</v>
      </c>
      <c r="E307" s="2">
        <v>13.41</v>
      </c>
      <c r="F307" s="3">
        <v>6.56</v>
      </c>
      <c r="G307" s="3">
        <v>22.08</v>
      </c>
      <c r="H307" s="4">
        <v>261.06</v>
      </c>
      <c r="I307" s="3">
        <v>70.52</v>
      </c>
      <c r="J307" t="s">
        <v>37</v>
      </c>
      <c r="K307" s="5">
        <v>4.3367100000000001</v>
      </c>
      <c r="L307" s="6" cm="1">
        <f t="array" ref="L307">_xlfn.PERCENTILE.INC(_xlfn._xlws.FILTER(tabla_base[Rendimiento_por_hectarea_ton], tabla_base[tipo_cultivo]=tabla_base[[#This Row],[tipo_cultivo]]), 0.75)</f>
        <v>5.2079399999999998</v>
      </c>
      <c r="M307" s="7" t="str">
        <f>IF(tabla_base[[#This Row],[Rendimiento_por_hectarea_ton]]&gt;tabla_base[[#This Row],[percentil_0,75]],"Sí","No")</f>
        <v>No</v>
      </c>
      <c r="N307" s="3">
        <v>0.89</v>
      </c>
      <c r="O307" t="s">
        <v>19</v>
      </c>
    </row>
    <row r="308" spans="1:15" x14ac:dyDescent="0.35">
      <c r="A308" t="s">
        <v>340</v>
      </c>
      <c r="B308" s="1" t="s">
        <v>39</v>
      </c>
      <c r="C308" s="1" t="s">
        <v>40</v>
      </c>
      <c r="D308" s="1" t="s">
        <v>31</v>
      </c>
      <c r="E308" s="2">
        <v>33.72</v>
      </c>
      <c r="F308" s="3">
        <v>7.49</v>
      </c>
      <c r="G308" s="3">
        <v>21.27</v>
      </c>
      <c r="H308" s="4">
        <v>52.64</v>
      </c>
      <c r="I308" s="3">
        <v>40.42</v>
      </c>
      <c r="J308" t="s">
        <v>19</v>
      </c>
      <c r="K308" s="5">
        <v>2.8776700000000002</v>
      </c>
      <c r="L308" s="6" cm="1">
        <f t="array" ref="L308">_xlfn.PERCENTILE.INC(_xlfn._xlws.FILTER(tabla_base[Rendimiento_por_hectarea_ton], tabla_base[tipo_cultivo]=tabla_base[[#This Row],[tipo_cultivo]]), 0.75)</f>
        <v>5.1742550000000005</v>
      </c>
      <c r="M308" s="7" t="str">
        <f>IF(tabla_base[[#This Row],[Rendimiento_por_hectarea_ton]]&gt;tabla_base[[#This Row],[percentil_0,75]],"Sí","No")</f>
        <v>No</v>
      </c>
      <c r="N308" s="3">
        <v>0.49</v>
      </c>
      <c r="O308" t="s">
        <v>19</v>
      </c>
    </row>
    <row r="309" spans="1:15" x14ac:dyDescent="0.35">
      <c r="A309" t="s">
        <v>341</v>
      </c>
      <c r="B309" s="1" t="s">
        <v>39</v>
      </c>
      <c r="C309" s="1" t="s">
        <v>40</v>
      </c>
      <c r="D309" s="1" t="s">
        <v>35</v>
      </c>
      <c r="E309" s="2">
        <v>43.27</v>
      </c>
      <c r="F309" s="3">
        <v>6.78</v>
      </c>
      <c r="G309" s="3">
        <v>29.16</v>
      </c>
      <c r="H309" s="4">
        <v>79.989999999999995</v>
      </c>
      <c r="I309" s="3">
        <v>82.82</v>
      </c>
      <c r="J309" t="s">
        <v>25</v>
      </c>
      <c r="K309" s="5">
        <v>4.6419100000000002</v>
      </c>
      <c r="L309" s="6" cm="1">
        <f t="array" ref="L309">_xlfn.PERCENTILE.INC(_xlfn._xlws.FILTER(tabla_base[Rendimiento_por_hectarea_ton], tabla_base[tipo_cultivo]=tabla_base[[#This Row],[tipo_cultivo]]), 0.75)</f>
        <v>5.1318025</v>
      </c>
      <c r="M309" s="7" t="str">
        <f>IF(tabla_base[[#This Row],[Rendimiento_por_hectarea_ton]]&gt;tabla_base[[#This Row],[percentil_0,75]],"Sí","No")</f>
        <v>No</v>
      </c>
      <c r="N309" s="3">
        <v>0.38</v>
      </c>
      <c r="O309" t="s">
        <v>20</v>
      </c>
    </row>
    <row r="310" spans="1:15" x14ac:dyDescent="0.35">
      <c r="A310" t="s">
        <v>342</v>
      </c>
      <c r="B310" s="1" t="s">
        <v>22</v>
      </c>
      <c r="C310" s="1" t="s">
        <v>30</v>
      </c>
      <c r="D310" s="1" t="s">
        <v>31</v>
      </c>
      <c r="E310" s="2">
        <v>15.67</v>
      </c>
      <c r="F310" s="3">
        <v>5.65</v>
      </c>
      <c r="G310" s="3">
        <v>30.54</v>
      </c>
      <c r="H310" s="4">
        <v>145.69999999999999</v>
      </c>
      <c r="I310" s="3">
        <v>56.63</v>
      </c>
      <c r="J310" t="s">
        <v>37</v>
      </c>
      <c r="K310" s="5">
        <v>3.5705399999999998</v>
      </c>
      <c r="L310" s="6" cm="1">
        <f t="array" ref="L310">_xlfn.PERCENTILE.INC(_xlfn._xlws.FILTER(tabla_base[Rendimiento_por_hectarea_ton], tabla_base[tipo_cultivo]=tabla_base[[#This Row],[tipo_cultivo]]), 0.75)</f>
        <v>5.1742550000000005</v>
      </c>
      <c r="M310" s="7" t="str">
        <f>IF(tabla_base[[#This Row],[Rendimiento_por_hectarea_ton]]&gt;tabla_base[[#This Row],[percentil_0,75]],"Sí","No")</f>
        <v>No</v>
      </c>
      <c r="N310" s="3">
        <v>0.47</v>
      </c>
      <c r="O310" t="s">
        <v>20</v>
      </c>
    </row>
    <row r="311" spans="1:15" x14ac:dyDescent="0.35">
      <c r="A311" t="s">
        <v>343</v>
      </c>
      <c r="B311" s="1" t="s">
        <v>22</v>
      </c>
      <c r="C311" s="1" t="s">
        <v>23</v>
      </c>
      <c r="D311" s="1" t="s">
        <v>31</v>
      </c>
      <c r="E311" s="2">
        <v>13.62</v>
      </c>
      <c r="F311" s="3">
        <v>5.65</v>
      </c>
      <c r="G311" s="3">
        <v>26.43</v>
      </c>
      <c r="H311" s="4">
        <v>112.65</v>
      </c>
      <c r="I311" s="3">
        <v>62.29</v>
      </c>
      <c r="J311" t="s">
        <v>25</v>
      </c>
      <c r="K311" s="5">
        <v>3.06575</v>
      </c>
      <c r="L311" s="6" cm="1">
        <f t="array" ref="L311">_xlfn.PERCENTILE.INC(_xlfn._xlws.FILTER(tabla_base[Rendimiento_por_hectarea_ton], tabla_base[tipo_cultivo]=tabla_base[[#This Row],[tipo_cultivo]]), 0.75)</f>
        <v>5.1742550000000005</v>
      </c>
      <c r="M311" s="7" t="str">
        <f>IF(tabla_base[[#This Row],[Rendimiento_por_hectarea_ton]]&gt;tabla_base[[#This Row],[percentil_0,75]],"Sí","No")</f>
        <v>No</v>
      </c>
      <c r="N311" s="3">
        <v>0.65</v>
      </c>
      <c r="O311" t="s">
        <v>26</v>
      </c>
    </row>
    <row r="312" spans="1:15" x14ac:dyDescent="0.35">
      <c r="A312" t="s">
        <v>344</v>
      </c>
      <c r="B312" s="1" t="s">
        <v>22</v>
      </c>
      <c r="C312" s="1" t="s">
        <v>23</v>
      </c>
      <c r="D312" s="1" t="s">
        <v>33</v>
      </c>
      <c r="E312" s="2">
        <v>24.14</v>
      </c>
      <c r="F312" s="3">
        <v>6.96</v>
      </c>
      <c r="G312" s="3">
        <v>31.25</v>
      </c>
      <c r="H312" s="4">
        <v>67.52</v>
      </c>
      <c r="I312" s="3">
        <v>51.29</v>
      </c>
      <c r="J312" t="s">
        <v>19</v>
      </c>
      <c r="K312" s="5">
        <v>3.2113100000000001</v>
      </c>
      <c r="L312" s="6" cm="1">
        <f t="array" ref="L312">_xlfn.PERCENTILE.INC(_xlfn._xlws.FILTER(tabla_base[Rendimiento_por_hectarea_ton], tabla_base[tipo_cultivo]=tabla_base[[#This Row],[tipo_cultivo]]), 0.75)</f>
        <v>5.1635450000000001</v>
      </c>
      <c r="M312" s="7" t="str">
        <f>IF(tabla_base[[#This Row],[Rendimiento_por_hectarea_ton]]&gt;tabla_base[[#This Row],[percentil_0,75]],"Sí","No")</f>
        <v>No</v>
      </c>
      <c r="N312" s="3">
        <v>0.56999999999999995</v>
      </c>
      <c r="O312" t="s">
        <v>26</v>
      </c>
    </row>
    <row r="313" spans="1:15" x14ac:dyDescent="0.35">
      <c r="A313" t="s">
        <v>345</v>
      </c>
      <c r="B313" s="1" t="s">
        <v>16</v>
      </c>
      <c r="C313" s="1" t="s">
        <v>17</v>
      </c>
      <c r="D313" s="1" t="s">
        <v>33</v>
      </c>
      <c r="E313" s="2">
        <v>36.619999999999997</v>
      </c>
      <c r="F313" s="3">
        <v>6.08</v>
      </c>
      <c r="G313" s="3">
        <v>19.059999999999999</v>
      </c>
      <c r="H313" s="4">
        <v>188.62</v>
      </c>
      <c r="I313" s="3">
        <v>88.38</v>
      </c>
      <c r="J313" t="s">
        <v>37</v>
      </c>
      <c r="K313" s="5">
        <v>3.4370400000000001</v>
      </c>
      <c r="L313" s="6" cm="1">
        <f t="array" ref="L313">_xlfn.PERCENTILE.INC(_xlfn._xlws.FILTER(tabla_base[Rendimiento_por_hectarea_ton], tabla_base[tipo_cultivo]=tabla_base[[#This Row],[tipo_cultivo]]), 0.75)</f>
        <v>5.1635450000000001</v>
      </c>
      <c r="M313" s="7" t="str">
        <f>IF(tabla_base[[#This Row],[Rendimiento_por_hectarea_ton]]&gt;tabla_base[[#This Row],[percentil_0,75]],"Sí","No")</f>
        <v>No</v>
      </c>
      <c r="N313" s="3">
        <v>0.77</v>
      </c>
      <c r="O313" t="s">
        <v>26</v>
      </c>
    </row>
    <row r="314" spans="1:15" x14ac:dyDescent="0.35">
      <c r="A314" t="s">
        <v>346</v>
      </c>
      <c r="B314" s="1" t="s">
        <v>16</v>
      </c>
      <c r="C314" s="1" t="s">
        <v>23</v>
      </c>
      <c r="D314" s="1" t="s">
        <v>18</v>
      </c>
      <c r="E314" s="2">
        <v>35.19</v>
      </c>
      <c r="F314" s="3">
        <v>6.69</v>
      </c>
      <c r="G314" s="3">
        <v>24.78</v>
      </c>
      <c r="H314" s="4">
        <v>65.75</v>
      </c>
      <c r="I314" s="3">
        <v>67.03</v>
      </c>
      <c r="J314" t="s">
        <v>19</v>
      </c>
      <c r="K314" s="5">
        <v>4.8840500000000002</v>
      </c>
      <c r="L314" s="6" cm="1">
        <f t="array" ref="L314">_xlfn.PERCENTILE.INC(_xlfn._xlws.FILTER(tabla_base[Rendimiento_por_hectarea_ton], tabla_base[tipo_cultivo]=tabla_base[[#This Row],[tipo_cultivo]]), 0.75)</f>
        <v>5.2079399999999998</v>
      </c>
      <c r="M314" s="7" t="str">
        <f>IF(tabla_base[[#This Row],[Rendimiento_por_hectarea_ton]]&gt;tabla_base[[#This Row],[percentil_0,75]],"Sí","No")</f>
        <v>No</v>
      </c>
      <c r="N314" s="3">
        <v>0.73</v>
      </c>
      <c r="O314" t="s">
        <v>44</v>
      </c>
    </row>
    <row r="315" spans="1:15" x14ac:dyDescent="0.35">
      <c r="A315" t="s">
        <v>347</v>
      </c>
      <c r="B315" s="1" t="s">
        <v>39</v>
      </c>
      <c r="C315" s="1" t="s">
        <v>40</v>
      </c>
      <c r="D315" s="1" t="s">
        <v>35</v>
      </c>
      <c r="E315" s="2">
        <v>35.94</v>
      </c>
      <c r="F315" s="3">
        <v>5.97</v>
      </c>
      <c r="G315" s="3">
        <v>16.440000000000001</v>
      </c>
      <c r="H315" s="4">
        <v>233.86</v>
      </c>
      <c r="I315" s="3">
        <v>64.44</v>
      </c>
      <c r="J315" t="s">
        <v>28</v>
      </c>
      <c r="K315" s="5">
        <v>4.5306499999999996</v>
      </c>
      <c r="L315" s="6" cm="1">
        <f t="array" ref="L315">_xlfn.PERCENTILE.INC(_xlfn._xlws.FILTER(tabla_base[Rendimiento_por_hectarea_ton], tabla_base[tipo_cultivo]=tabla_base[[#This Row],[tipo_cultivo]]), 0.75)</f>
        <v>5.1318025</v>
      </c>
      <c r="M315" s="7" t="str">
        <f>IF(tabla_base[[#This Row],[Rendimiento_por_hectarea_ton]]&gt;tabla_base[[#This Row],[percentil_0,75]],"Sí","No")</f>
        <v>No</v>
      </c>
      <c r="N315" s="3">
        <v>0.68</v>
      </c>
      <c r="O315" t="s">
        <v>19</v>
      </c>
    </row>
    <row r="316" spans="1:15" x14ac:dyDescent="0.35">
      <c r="A316" t="s">
        <v>348</v>
      </c>
      <c r="B316" s="1" t="s">
        <v>16</v>
      </c>
      <c r="C316" s="1" t="s">
        <v>17</v>
      </c>
      <c r="D316" s="1" t="s">
        <v>18</v>
      </c>
      <c r="E316" s="2">
        <v>27.4</v>
      </c>
      <c r="F316" s="3">
        <v>7.1</v>
      </c>
      <c r="G316" s="3">
        <v>19.41</v>
      </c>
      <c r="H316" s="4">
        <v>251.11</v>
      </c>
      <c r="I316" s="3">
        <v>61.31</v>
      </c>
      <c r="J316" t="s">
        <v>19</v>
      </c>
      <c r="K316" s="5">
        <v>2.5493200000000003</v>
      </c>
      <c r="L316" s="6" cm="1">
        <f t="array" ref="L316">_xlfn.PERCENTILE.INC(_xlfn._xlws.FILTER(tabla_base[Rendimiento_por_hectarea_ton], tabla_base[tipo_cultivo]=tabla_base[[#This Row],[tipo_cultivo]]), 0.75)</f>
        <v>5.2079399999999998</v>
      </c>
      <c r="M316" s="7" t="str">
        <f>IF(tabla_base[[#This Row],[Rendimiento_por_hectarea_ton]]&gt;tabla_base[[#This Row],[percentil_0,75]],"Sí","No")</f>
        <v>No</v>
      </c>
      <c r="N316" s="3">
        <v>0.63</v>
      </c>
      <c r="O316" t="s">
        <v>19</v>
      </c>
    </row>
    <row r="317" spans="1:15" x14ac:dyDescent="0.35">
      <c r="A317" t="s">
        <v>349</v>
      </c>
      <c r="B317" s="1" t="s">
        <v>22</v>
      </c>
      <c r="C317" s="1" t="s">
        <v>30</v>
      </c>
      <c r="D317" s="1" t="s">
        <v>18</v>
      </c>
      <c r="E317" s="2">
        <v>14.23</v>
      </c>
      <c r="F317" s="3">
        <v>5.78</v>
      </c>
      <c r="G317" s="3">
        <v>23.3</v>
      </c>
      <c r="H317" s="4">
        <v>224.07</v>
      </c>
      <c r="I317" s="3">
        <v>67.67</v>
      </c>
      <c r="J317" t="s">
        <v>28</v>
      </c>
      <c r="K317" s="5">
        <v>5.1106499999999997</v>
      </c>
      <c r="L317" s="6" cm="1">
        <f t="array" ref="L317">_xlfn.PERCENTILE.INC(_xlfn._xlws.FILTER(tabla_base[Rendimiento_por_hectarea_ton], tabla_base[tipo_cultivo]=tabla_base[[#This Row],[tipo_cultivo]]), 0.75)</f>
        <v>5.2079399999999998</v>
      </c>
      <c r="M317" s="7" t="str">
        <f>IF(tabla_base[[#This Row],[Rendimiento_por_hectarea_ton]]&gt;tabla_base[[#This Row],[percentil_0,75]],"Sí","No")</f>
        <v>No</v>
      </c>
      <c r="N317" s="3">
        <v>0.69</v>
      </c>
      <c r="O317" t="s">
        <v>20</v>
      </c>
    </row>
    <row r="318" spans="1:15" x14ac:dyDescent="0.35">
      <c r="A318" t="s">
        <v>350</v>
      </c>
      <c r="B318" s="1" t="s">
        <v>39</v>
      </c>
      <c r="C318" s="1" t="s">
        <v>40</v>
      </c>
      <c r="D318" s="1" t="s">
        <v>31</v>
      </c>
      <c r="E318" s="2">
        <v>24.57</v>
      </c>
      <c r="F318" s="3">
        <v>7.11</v>
      </c>
      <c r="G318" s="3">
        <v>30.45</v>
      </c>
      <c r="H318" s="4">
        <v>223.09</v>
      </c>
      <c r="I318" s="3">
        <v>50.31</v>
      </c>
      <c r="J318" t="s">
        <v>19</v>
      </c>
      <c r="K318" s="5">
        <v>2.1504799999999999</v>
      </c>
      <c r="L318" s="6" cm="1">
        <f t="array" ref="L318">_xlfn.PERCENTILE.INC(_xlfn._xlws.FILTER(tabla_base[Rendimiento_por_hectarea_ton], tabla_base[tipo_cultivo]=tabla_base[[#This Row],[tipo_cultivo]]), 0.75)</f>
        <v>5.1742550000000005</v>
      </c>
      <c r="M318" s="7" t="str">
        <f>IF(tabla_base[[#This Row],[Rendimiento_por_hectarea_ton]]&gt;tabla_base[[#This Row],[percentil_0,75]],"Sí","No")</f>
        <v>No</v>
      </c>
      <c r="N318" s="3">
        <v>0.51</v>
      </c>
      <c r="O318" t="s">
        <v>20</v>
      </c>
    </row>
    <row r="319" spans="1:15" x14ac:dyDescent="0.35">
      <c r="A319" t="s">
        <v>351</v>
      </c>
      <c r="B319" s="1" t="s">
        <v>22</v>
      </c>
      <c r="C319" s="1" t="s">
        <v>30</v>
      </c>
      <c r="D319" s="1" t="s">
        <v>33</v>
      </c>
      <c r="E319" s="2">
        <v>10.16</v>
      </c>
      <c r="F319" s="3">
        <v>5.97</v>
      </c>
      <c r="G319" s="3">
        <v>17.350000000000001</v>
      </c>
      <c r="H319" s="4">
        <v>182.55</v>
      </c>
      <c r="I319" s="3">
        <v>44.78</v>
      </c>
      <c r="J319" t="s">
        <v>25</v>
      </c>
      <c r="K319" s="5">
        <v>2.2122800000000002</v>
      </c>
      <c r="L319" s="6" cm="1">
        <f t="array" ref="L319">_xlfn.PERCENTILE.INC(_xlfn._xlws.FILTER(tabla_base[Rendimiento_por_hectarea_ton], tabla_base[tipo_cultivo]=tabla_base[[#This Row],[tipo_cultivo]]), 0.75)</f>
        <v>5.1635450000000001</v>
      </c>
      <c r="M319" s="7" t="str">
        <f>IF(tabla_base[[#This Row],[Rendimiento_por_hectarea_ton]]&gt;tabla_base[[#This Row],[percentil_0,75]],"Sí","No")</f>
        <v>No</v>
      </c>
      <c r="N319" s="3">
        <v>0.76</v>
      </c>
      <c r="O319" t="s">
        <v>19</v>
      </c>
    </row>
    <row r="320" spans="1:15" x14ac:dyDescent="0.35">
      <c r="A320" t="s">
        <v>352</v>
      </c>
      <c r="B320" s="1" t="s">
        <v>22</v>
      </c>
      <c r="C320" s="1" t="s">
        <v>23</v>
      </c>
      <c r="D320" s="1" t="s">
        <v>35</v>
      </c>
      <c r="E320" s="2">
        <v>15.59</v>
      </c>
      <c r="F320" s="3">
        <v>7.35</v>
      </c>
      <c r="G320" s="3">
        <v>16.079999999999998</v>
      </c>
      <c r="H320" s="4">
        <v>141.05000000000001</v>
      </c>
      <c r="I320" s="3">
        <v>50.48</v>
      </c>
      <c r="J320" t="s">
        <v>19</v>
      </c>
      <c r="K320" s="5">
        <v>2.63218</v>
      </c>
      <c r="L320" s="6" cm="1">
        <f t="array" ref="L320">_xlfn.PERCENTILE.INC(_xlfn._xlws.FILTER(tabla_base[Rendimiento_por_hectarea_ton], tabla_base[tipo_cultivo]=tabla_base[[#This Row],[tipo_cultivo]]), 0.75)</f>
        <v>5.1318025</v>
      </c>
      <c r="M320" s="7" t="str">
        <f>IF(tabla_base[[#This Row],[Rendimiento_por_hectarea_ton]]&gt;tabla_base[[#This Row],[percentil_0,75]],"Sí","No")</f>
        <v>No</v>
      </c>
      <c r="N320" s="3">
        <v>0.62</v>
      </c>
      <c r="O320" t="s">
        <v>19</v>
      </c>
    </row>
    <row r="321" spans="1:15" x14ac:dyDescent="0.35">
      <c r="A321" t="s">
        <v>353</v>
      </c>
      <c r="B321" s="1" t="s">
        <v>39</v>
      </c>
      <c r="C321" s="1" t="s">
        <v>40</v>
      </c>
      <c r="D321" s="1" t="s">
        <v>24</v>
      </c>
      <c r="E321" s="2">
        <v>21.41</v>
      </c>
      <c r="F321" s="3">
        <v>5.9</v>
      </c>
      <c r="G321" s="3">
        <v>28.54</v>
      </c>
      <c r="H321" s="4">
        <v>131.41999999999999</v>
      </c>
      <c r="I321" s="3">
        <v>78.95</v>
      </c>
      <c r="J321" t="s">
        <v>28</v>
      </c>
      <c r="K321" s="5">
        <v>2.8826499999999999</v>
      </c>
      <c r="L321" s="6" cm="1">
        <f t="array" ref="L321">_xlfn.PERCENTILE.INC(_xlfn._xlws.FILTER(tabla_base[Rendimiento_por_hectarea_ton], tabla_base[tipo_cultivo]=tabla_base[[#This Row],[tipo_cultivo]]), 0.75)</f>
        <v>5.3984449999999997</v>
      </c>
      <c r="M321" s="7" t="str">
        <f>IF(tabla_base[[#This Row],[Rendimiento_por_hectarea_ton]]&gt;tabla_base[[#This Row],[percentil_0,75]],"Sí","No")</f>
        <v>No</v>
      </c>
      <c r="N321" s="3">
        <v>0.7</v>
      </c>
      <c r="O321" t="s">
        <v>44</v>
      </c>
    </row>
    <row r="322" spans="1:15" x14ac:dyDescent="0.35">
      <c r="A322" t="s">
        <v>354</v>
      </c>
      <c r="B322" s="1" t="s">
        <v>39</v>
      </c>
      <c r="C322" s="1" t="s">
        <v>40</v>
      </c>
      <c r="D322" s="1" t="s">
        <v>33</v>
      </c>
      <c r="E322" s="2">
        <v>16.23</v>
      </c>
      <c r="F322" s="3">
        <v>6.25</v>
      </c>
      <c r="G322" s="3">
        <v>24.15</v>
      </c>
      <c r="H322" s="4">
        <v>98.54</v>
      </c>
      <c r="I322" s="3">
        <v>57.93</v>
      </c>
      <c r="J322" t="s">
        <v>37</v>
      </c>
      <c r="K322" s="5">
        <v>2.5460100000000003</v>
      </c>
      <c r="L322" s="6" cm="1">
        <f t="array" ref="L322">_xlfn.PERCENTILE.INC(_xlfn._xlws.FILTER(tabla_base[Rendimiento_por_hectarea_ton], tabla_base[tipo_cultivo]=tabla_base[[#This Row],[tipo_cultivo]]), 0.75)</f>
        <v>5.1635450000000001</v>
      </c>
      <c r="M322" s="7" t="str">
        <f>IF(tabla_base[[#This Row],[Rendimiento_por_hectarea_ton]]&gt;tabla_base[[#This Row],[percentil_0,75]],"Sí","No")</f>
        <v>No</v>
      </c>
      <c r="N322" s="3">
        <v>0.72</v>
      </c>
      <c r="O322" t="s">
        <v>26</v>
      </c>
    </row>
    <row r="323" spans="1:15" x14ac:dyDescent="0.35">
      <c r="A323" t="s">
        <v>355</v>
      </c>
      <c r="B323" s="1" t="s">
        <v>39</v>
      </c>
      <c r="C323" s="1" t="s">
        <v>40</v>
      </c>
      <c r="D323" s="1" t="s">
        <v>35</v>
      </c>
      <c r="E323" s="2">
        <v>37.630000000000003</v>
      </c>
      <c r="F323" s="3">
        <v>6.78</v>
      </c>
      <c r="G323" s="3">
        <v>27.23</v>
      </c>
      <c r="H323" s="4">
        <v>92.48</v>
      </c>
      <c r="I323" s="3">
        <v>88.51</v>
      </c>
      <c r="J323" t="s">
        <v>28</v>
      </c>
      <c r="K323" s="5">
        <v>4.36632</v>
      </c>
      <c r="L323" s="6" cm="1">
        <f t="array" ref="L323">_xlfn.PERCENTILE.INC(_xlfn._xlws.FILTER(tabla_base[Rendimiento_por_hectarea_ton], tabla_base[tipo_cultivo]=tabla_base[[#This Row],[tipo_cultivo]]), 0.75)</f>
        <v>5.1318025</v>
      </c>
      <c r="M323" s="7" t="str">
        <f>IF(tabla_base[[#This Row],[Rendimiento_por_hectarea_ton]]&gt;tabla_base[[#This Row],[percentil_0,75]],"Sí","No")</f>
        <v>No</v>
      </c>
      <c r="N323" s="3">
        <v>0.3</v>
      </c>
      <c r="O323" t="s">
        <v>19</v>
      </c>
    </row>
    <row r="324" spans="1:15" x14ac:dyDescent="0.35">
      <c r="A324" t="s">
        <v>356</v>
      </c>
      <c r="B324" s="1" t="s">
        <v>16</v>
      </c>
      <c r="C324" s="1" t="s">
        <v>23</v>
      </c>
      <c r="D324" s="1" t="s">
        <v>31</v>
      </c>
      <c r="E324" s="2">
        <v>25.2</v>
      </c>
      <c r="F324" s="3">
        <v>5.94</v>
      </c>
      <c r="G324" s="3">
        <v>33.549999999999997</v>
      </c>
      <c r="H324" s="4">
        <v>286.56</v>
      </c>
      <c r="I324" s="3">
        <v>85.69</v>
      </c>
      <c r="J324" t="s">
        <v>19</v>
      </c>
      <c r="K324" s="5">
        <v>4.0168699999999999</v>
      </c>
      <c r="L324" s="6" cm="1">
        <f t="array" ref="L324">_xlfn.PERCENTILE.INC(_xlfn._xlws.FILTER(tabla_base[Rendimiento_por_hectarea_ton], tabla_base[tipo_cultivo]=tabla_base[[#This Row],[tipo_cultivo]]), 0.75)</f>
        <v>5.1742550000000005</v>
      </c>
      <c r="M324" s="7" t="str">
        <f>IF(tabla_base[[#This Row],[Rendimiento_por_hectarea_ton]]&gt;tabla_base[[#This Row],[percentil_0,75]],"Sí","No")</f>
        <v>No</v>
      </c>
      <c r="N324" s="3">
        <v>0.45</v>
      </c>
      <c r="O324" t="s">
        <v>20</v>
      </c>
    </row>
    <row r="325" spans="1:15" x14ac:dyDescent="0.35">
      <c r="A325" t="s">
        <v>357</v>
      </c>
      <c r="B325" s="1" t="s">
        <v>22</v>
      </c>
      <c r="C325" s="1" t="s">
        <v>23</v>
      </c>
      <c r="D325" s="1" t="s">
        <v>33</v>
      </c>
      <c r="E325" s="2">
        <v>18.420000000000002</v>
      </c>
      <c r="F325" s="3">
        <v>6.62</v>
      </c>
      <c r="G325" s="3">
        <v>15.25</v>
      </c>
      <c r="H325" s="4">
        <v>232.95</v>
      </c>
      <c r="I325" s="3">
        <v>87.5</v>
      </c>
      <c r="J325" t="s">
        <v>37</v>
      </c>
      <c r="K325" s="5">
        <v>4.6761400000000002</v>
      </c>
      <c r="L325" s="6" cm="1">
        <f t="array" ref="L325">_xlfn.PERCENTILE.INC(_xlfn._xlws.FILTER(tabla_base[Rendimiento_por_hectarea_ton], tabla_base[tipo_cultivo]=tabla_base[[#This Row],[tipo_cultivo]]), 0.75)</f>
        <v>5.1635450000000001</v>
      </c>
      <c r="M325" s="7" t="str">
        <f>IF(tabla_base[[#This Row],[Rendimiento_por_hectarea_ton]]&gt;tabla_base[[#This Row],[percentil_0,75]],"Sí","No")</f>
        <v>No</v>
      </c>
      <c r="N325" s="3">
        <v>0.34</v>
      </c>
      <c r="O325" t="s">
        <v>26</v>
      </c>
    </row>
    <row r="326" spans="1:15" x14ac:dyDescent="0.35">
      <c r="A326" t="s">
        <v>358</v>
      </c>
      <c r="B326" s="1" t="s">
        <v>22</v>
      </c>
      <c r="C326" s="1" t="s">
        <v>23</v>
      </c>
      <c r="D326" s="1" t="s">
        <v>33</v>
      </c>
      <c r="E326" s="2">
        <v>37.01</v>
      </c>
      <c r="F326" s="3">
        <v>7.25</v>
      </c>
      <c r="G326" s="3">
        <v>23.11</v>
      </c>
      <c r="H326" s="4">
        <v>247.46</v>
      </c>
      <c r="I326" s="3">
        <v>58.52</v>
      </c>
      <c r="J326" t="s">
        <v>28</v>
      </c>
      <c r="K326" s="5">
        <v>2.1308600000000002</v>
      </c>
      <c r="L326" s="6" cm="1">
        <f t="array" ref="L326">_xlfn.PERCENTILE.INC(_xlfn._xlws.FILTER(tabla_base[Rendimiento_por_hectarea_ton], tabla_base[tipo_cultivo]=tabla_base[[#This Row],[tipo_cultivo]]), 0.75)</f>
        <v>5.1635450000000001</v>
      </c>
      <c r="M326" s="7" t="str">
        <f>IF(tabla_base[[#This Row],[Rendimiento_por_hectarea_ton]]&gt;tabla_base[[#This Row],[percentil_0,75]],"Sí","No")</f>
        <v>No</v>
      </c>
      <c r="N326" s="3">
        <v>0.42</v>
      </c>
      <c r="O326" t="s">
        <v>19</v>
      </c>
    </row>
    <row r="327" spans="1:15" x14ac:dyDescent="0.35">
      <c r="A327" t="s">
        <v>359</v>
      </c>
      <c r="B327" s="1" t="s">
        <v>16</v>
      </c>
      <c r="C327" s="1" t="s">
        <v>17</v>
      </c>
      <c r="D327" s="1" t="s">
        <v>24</v>
      </c>
      <c r="E327" s="2">
        <v>40.83</v>
      </c>
      <c r="F327" s="3">
        <v>6.97</v>
      </c>
      <c r="G327" s="3">
        <v>16.100000000000001</v>
      </c>
      <c r="H327" s="4">
        <v>286.33</v>
      </c>
      <c r="I327" s="3">
        <v>73.73</v>
      </c>
      <c r="J327" t="s">
        <v>28</v>
      </c>
      <c r="K327" s="5">
        <v>3.4657300000000002</v>
      </c>
      <c r="L327" s="6" cm="1">
        <f t="array" ref="L327">_xlfn.PERCENTILE.INC(_xlfn._xlws.FILTER(tabla_base[Rendimiento_por_hectarea_ton], tabla_base[tipo_cultivo]=tabla_base[[#This Row],[tipo_cultivo]]), 0.75)</f>
        <v>5.3984449999999997</v>
      </c>
      <c r="M327" s="7" t="str">
        <f>IF(tabla_base[[#This Row],[Rendimiento_por_hectarea_ton]]&gt;tabla_base[[#This Row],[percentil_0,75]],"Sí","No")</f>
        <v>No</v>
      </c>
      <c r="N327" s="3">
        <v>0.86</v>
      </c>
      <c r="O327" t="s">
        <v>26</v>
      </c>
    </row>
    <row r="328" spans="1:15" x14ac:dyDescent="0.35">
      <c r="A328" t="s">
        <v>360</v>
      </c>
      <c r="B328" s="1" t="s">
        <v>16</v>
      </c>
      <c r="C328" s="1" t="s">
        <v>23</v>
      </c>
      <c r="D328" s="1" t="s">
        <v>31</v>
      </c>
      <c r="E328" s="2">
        <v>18.350000000000001</v>
      </c>
      <c r="F328" s="3">
        <v>5.73</v>
      </c>
      <c r="G328" s="3">
        <v>24.57</v>
      </c>
      <c r="H328" s="4">
        <v>284.79000000000002</v>
      </c>
      <c r="I328" s="3">
        <v>69.010000000000005</v>
      </c>
      <c r="J328" t="s">
        <v>25</v>
      </c>
      <c r="K328" s="5">
        <v>3.0694299999999997</v>
      </c>
      <c r="L328" s="6" cm="1">
        <f t="array" ref="L328">_xlfn.PERCENTILE.INC(_xlfn._xlws.FILTER(tabla_base[Rendimiento_por_hectarea_ton], tabla_base[tipo_cultivo]=tabla_base[[#This Row],[tipo_cultivo]]), 0.75)</f>
        <v>5.1742550000000005</v>
      </c>
      <c r="M328" s="7" t="str">
        <f>IF(tabla_base[[#This Row],[Rendimiento_por_hectarea_ton]]&gt;tabla_base[[#This Row],[percentil_0,75]],"Sí","No")</f>
        <v>No</v>
      </c>
      <c r="N328" s="3">
        <v>0.65</v>
      </c>
      <c r="O328" t="s">
        <v>44</v>
      </c>
    </row>
    <row r="329" spans="1:15" x14ac:dyDescent="0.35">
      <c r="A329" t="s">
        <v>361</v>
      </c>
      <c r="B329" s="1" t="s">
        <v>39</v>
      </c>
      <c r="C329" s="1" t="s">
        <v>40</v>
      </c>
      <c r="D329" s="1" t="s">
        <v>24</v>
      </c>
      <c r="E329" s="2">
        <v>39.03</v>
      </c>
      <c r="F329" s="3">
        <v>6.44</v>
      </c>
      <c r="G329" s="3">
        <v>25.64</v>
      </c>
      <c r="H329" s="4">
        <v>256.33999999999997</v>
      </c>
      <c r="I329" s="3">
        <v>84.97</v>
      </c>
      <c r="J329" t="s">
        <v>37</v>
      </c>
      <c r="K329" s="5">
        <v>5.53592</v>
      </c>
      <c r="L329" s="6" cm="1">
        <f t="array" ref="L329">_xlfn.PERCENTILE.INC(_xlfn._xlws.FILTER(tabla_base[Rendimiento_por_hectarea_ton], tabla_base[tipo_cultivo]=tabla_base[[#This Row],[tipo_cultivo]]), 0.75)</f>
        <v>5.3984449999999997</v>
      </c>
      <c r="M329" s="7" t="str">
        <f>IF(tabla_base[[#This Row],[Rendimiento_por_hectarea_ton]]&gt;tabla_base[[#This Row],[percentil_0,75]],"Sí","No")</f>
        <v>Sí</v>
      </c>
      <c r="N329" s="3">
        <v>0.35</v>
      </c>
      <c r="O329" t="s">
        <v>20</v>
      </c>
    </row>
    <row r="330" spans="1:15" x14ac:dyDescent="0.35">
      <c r="A330" t="s">
        <v>362</v>
      </c>
      <c r="B330" s="1" t="s">
        <v>16</v>
      </c>
      <c r="C330" s="1" t="s">
        <v>17</v>
      </c>
      <c r="D330" s="1" t="s">
        <v>35</v>
      </c>
      <c r="E330" s="2">
        <v>19.66</v>
      </c>
      <c r="F330" s="3">
        <v>6.89</v>
      </c>
      <c r="G330" s="3">
        <v>24.93</v>
      </c>
      <c r="H330" s="4">
        <v>268.75</v>
      </c>
      <c r="I330" s="3">
        <v>66.03</v>
      </c>
      <c r="J330" t="s">
        <v>37</v>
      </c>
      <c r="K330" s="5">
        <v>3.3868</v>
      </c>
      <c r="L330" s="6" cm="1">
        <f t="array" ref="L330">_xlfn.PERCENTILE.INC(_xlfn._xlws.FILTER(tabla_base[Rendimiento_por_hectarea_ton], tabla_base[tipo_cultivo]=tabla_base[[#This Row],[tipo_cultivo]]), 0.75)</f>
        <v>5.1318025</v>
      </c>
      <c r="M330" s="7" t="str">
        <f>IF(tabla_base[[#This Row],[Rendimiento_por_hectarea_ton]]&gt;tabla_base[[#This Row],[percentil_0,75]],"Sí","No")</f>
        <v>No</v>
      </c>
      <c r="N330" s="3">
        <v>0.52</v>
      </c>
      <c r="O330" t="s">
        <v>26</v>
      </c>
    </row>
    <row r="331" spans="1:15" x14ac:dyDescent="0.35">
      <c r="A331" t="s">
        <v>363</v>
      </c>
      <c r="B331" s="1" t="s">
        <v>16</v>
      </c>
      <c r="C331" s="1" t="s">
        <v>23</v>
      </c>
      <c r="D331" s="1" t="s">
        <v>24</v>
      </c>
      <c r="E331" s="2">
        <v>32.56</v>
      </c>
      <c r="F331" s="3">
        <v>6.32</v>
      </c>
      <c r="G331" s="3">
        <v>21.86</v>
      </c>
      <c r="H331" s="4">
        <v>211.51</v>
      </c>
      <c r="I331" s="3">
        <v>56.32</v>
      </c>
      <c r="J331" t="s">
        <v>19</v>
      </c>
      <c r="K331" s="5">
        <v>2.6869499999999999</v>
      </c>
      <c r="L331" s="6" cm="1">
        <f t="array" ref="L331">_xlfn.PERCENTILE.INC(_xlfn._xlws.FILTER(tabla_base[Rendimiento_por_hectarea_ton], tabla_base[tipo_cultivo]=tabla_base[[#This Row],[tipo_cultivo]]), 0.75)</f>
        <v>5.3984449999999997</v>
      </c>
      <c r="M331" s="7" t="str">
        <f>IF(tabla_base[[#This Row],[Rendimiento_por_hectarea_ton]]&gt;tabla_base[[#This Row],[percentil_0,75]],"Sí","No")</f>
        <v>No</v>
      </c>
      <c r="N331" s="3">
        <v>0.59</v>
      </c>
      <c r="O331" t="s">
        <v>19</v>
      </c>
    </row>
    <row r="332" spans="1:15" x14ac:dyDescent="0.35">
      <c r="A332" t="s">
        <v>364</v>
      </c>
      <c r="B332" s="1" t="s">
        <v>16</v>
      </c>
      <c r="C332" s="1" t="s">
        <v>23</v>
      </c>
      <c r="D332" s="1" t="s">
        <v>31</v>
      </c>
      <c r="E332" s="2">
        <v>19.95</v>
      </c>
      <c r="F332" s="3">
        <v>7.41</v>
      </c>
      <c r="G332" s="3">
        <v>27.37</v>
      </c>
      <c r="H332" s="4">
        <v>90.2</v>
      </c>
      <c r="I332" s="3">
        <v>66.77</v>
      </c>
      <c r="J332" t="s">
        <v>25</v>
      </c>
      <c r="K332" s="5">
        <v>2.6450200000000001</v>
      </c>
      <c r="L332" s="6" cm="1">
        <f t="array" ref="L332">_xlfn.PERCENTILE.INC(_xlfn._xlws.FILTER(tabla_base[Rendimiento_por_hectarea_ton], tabla_base[tipo_cultivo]=tabla_base[[#This Row],[tipo_cultivo]]), 0.75)</f>
        <v>5.1742550000000005</v>
      </c>
      <c r="M332" s="7" t="str">
        <f>IF(tabla_base[[#This Row],[Rendimiento_por_hectarea_ton]]&gt;tabla_base[[#This Row],[percentil_0,75]],"Sí","No")</f>
        <v>No</v>
      </c>
      <c r="N332" s="3">
        <v>0.68</v>
      </c>
      <c r="O332" t="s">
        <v>20</v>
      </c>
    </row>
    <row r="333" spans="1:15" x14ac:dyDescent="0.35">
      <c r="A333" t="s">
        <v>365</v>
      </c>
      <c r="B333" s="1" t="s">
        <v>22</v>
      </c>
      <c r="C333" s="1" t="s">
        <v>30</v>
      </c>
      <c r="D333" s="1" t="s">
        <v>35</v>
      </c>
      <c r="E333" s="2">
        <v>17.18</v>
      </c>
      <c r="F333" s="3">
        <v>6.91</v>
      </c>
      <c r="G333" s="3">
        <v>28.31</v>
      </c>
      <c r="H333" s="4">
        <v>294.51</v>
      </c>
      <c r="I333" s="3">
        <v>47.4</v>
      </c>
      <c r="J333" t="s">
        <v>25</v>
      </c>
      <c r="K333" s="5">
        <v>3.9976700000000003</v>
      </c>
      <c r="L333" s="6" cm="1">
        <f t="array" ref="L333">_xlfn.PERCENTILE.INC(_xlfn._xlws.FILTER(tabla_base[Rendimiento_por_hectarea_ton], tabla_base[tipo_cultivo]=tabla_base[[#This Row],[tipo_cultivo]]), 0.75)</f>
        <v>5.1318025</v>
      </c>
      <c r="M333" s="7" t="str">
        <f>IF(tabla_base[[#This Row],[Rendimiento_por_hectarea_ton]]&gt;tabla_base[[#This Row],[percentil_0,75]],"Sí","No")</f>
        <v>No</v>
      </c>
      <c r="N333" s="3">
        <v>0.43</v>
      </c>
      <c r="O333" t="s">
        <v>44</v>
      </c>
    </row>
    <row r="334" spans="1:15" x14ac:dyDescent="0.35">
      <c r="A334" t="s">
        <v>366</v>
      </c>
      <c r="B334" s="1" t="s">
        <v>22</v>
      </c>
      <c r="C334" s="1" t="s">
        <v>30</v>
      </c>
      <c r="D334" s="1" t="s">
        <v>33</v>
      </c>
      <c r="E334" s="2">
        <v>41.36</v>
      </c>
      <c r="F334" s="3">
        <v>7.44</v>
      </c>
      <c r="G334" s="3">
        <v>30.08</v>
      </c>
      <c r="H334" s="4">
        <v>298.52</v>
      </c>
      <c r="I334" s="3">
        <v>73.34</v>
      </c>
      <c r="J334" t="s">
        <v>19</v>
      </c>
      <c r="K334" s="5">
        <v>2.16032</v>
      </c>
      <c r="L334" s="6" cm="1">
        <f t="array" ref="L334">_xlfn.PERCENTILE.INC(_xlfn._xlws.FILTER(tabla_base[Rendimiento_por_hectarea_ton], tabla_base[tipo_cultivo]=tabla_base[[#This Row],[tipo_cultivo]]), 0.75)</f>
        <v>5.1635450000000001</v>
      </c>
      <c r="M334" s="7" t="str">
        <f>IF(tabla_base[[#This Row],[Rendimiento_por_hectarea_ton]]&gt;tabla_base[[#This Row],[percentil_0,75]],"Sí","No")</f>
        <v>No</v>
      </c>
      <c r="N334" s="3">
        <v>0.85</v>
      </c>
      <c r="O334" t="s">
        <v>26</v>
      </c>
    </row>
    <row r="335" spans="1:15" x14ac:dyDescent="0.35">
      <c r="A335" t="s">
        <v>367</v>
      </c>
      <c r="B335" s="1" t="s">
        <v>22</v>
      </c>
      <c r="C335" s="1" t="s">
        <v>23</v>
      </c>
      <c r="D335" s="1" t="s">
        <v>31</v>
      </c>
      <c r="E335" s="2">
        <v>13.24</v>
      </c>
      <c r="F335" s="3">
        <v>5.61</v>
      </c>
      <c r="G335" s="3">
        <v>27.83</v>
      </c>
      <c r="H335" s="4">
        <v>195.86</v>
      </c>
      <c r="I335" s="3">
        <v>51.11</v>
      </c>
      <c r="J335" t="s">
        <v>37</v>
      </c>
      <c r="K335" s="5">
        <v>4.7082499999999996</v>
      </c>
      <c r="L335" s="6" cm="1">
        <f t="array" ref="L335">_xlfn.PERCENTILE.INC(_xlfn._xlws.FILTER(tabla_base[Rendimiento_por_hectarea_ton], tabla_base[tipo_cultivo]=tabla_base[[#This Row],[tipo_cultivo]]), 0.75)</f>
        <v>5.1742550000000005</v>
      </c>
      <c r="M335" s="7" t="str">
        <f>IF(tabla_base[[#This Row],[Rendimiento_por_hectarea_ton]]&gt;tabla_base[[#This Row],[percentil_0,75]],"Sí","No")</f>
        <v>No</v>
      </c>
      <c r="N335" s="3">
        <v>0.41</v>
      </c>
      <c r="O335" t="s">
        <v>19</v>
      </c>
    </row>
    <row r="336" spans="1:15" x14ac:dyDescent="0.35">
      <c r="A336" t="s">
        <v>368</v>
      </c>
      <c r="B336" s="1" t="s">
        <v>22</v>
      </c>
      <c r="C336" s="1" t="s">
        <v>30</v>
      </c>
      <c r="D336" s="1" t="s">
        <v>33</v>
      </c>
      <c r="E336" s="2">
        <v>15.18</v>
      </c>
      <c r="F336" s="3">
        <v>7.21</v>
      </c>
      <c r="G336" s="3">
        <v>22.39</v>
      </c>
      <c r="H336" s="4">
        <v>143.21</v>
      </c>
      <c r="I336" s="3">
        <v>54.23</v>
      </c>
      <c r="J336" t="s">
        <v>19</v>
      </c>
      <c r="K336" s="5">
        <v>5.9703900000000001</v>
      </c>
      <c r="L336" s="6" cm="1">
        <f t="array" ref="L336">_xlfn.PERCENTILE.INC(_xlfn._xlws.FILTER(tabla_base[Rendimiento_por_hectarea_ton], tabla_base[tipo_cultivo]=tabla_base[[#This Row],[tipo_cultivo]]), 0.75)</f>
        <v>5.1635450000000001</v>
      </c>
      <c r="M336" s="7" t="str">
        <f>IF(tabla_base[[#This Row],[Rendimiento_por_hectarea_ton]]&gt;tabla_base[[#This Row],[percentil_0,75]],"Sí","No")</f>
        <v>Sí</v>
      </c>
      <c r="N336" s="3">
        <v>0.59</v>
      </c>
      <c r="O336" t="s">
        <v>26</v>
      </c>
    </row>
    <row r="337" spans="1:15" x14ac:dyDescent="0.35">
      <c r="A337" t="s">
        <v>369</v>
      </c>
      <c r="B337" s="1" t="s">
        <v>22</v>
      </c>
      <c r="C337" s="1" t="s">
        <v>23</v>
      </c>
      <c r="D337" s="1" t="s">
        <v>35</v>
      </c>
      <c r="E337" s="2">
        <v>39.24</v>
      </c>
      <c r="F337" s="3">
        <v>6.7</v>
      </c>
      <c r="G337" s="3">
        <v>17.87</v>
      </c>
      <c r="H337" s="4">
        <v>125.81</v>
      </c>
      <c r="I337" s="3">
        <v>89.42</v>
      </c>
      <c r="J337" t="s">
        <v>37</v>
      </c>
      <c r="K337" s="5">
        <v>2.35379</v>
      </c>
      <c r="L337" s="6" cm="1">
        <f t="array" ref="L337">_xlfn.PERCENTILE.INC(_xlfn._xlws.FILTER(tabla_base[Rendimiento_por_hectarea_ton], tabla_base[tipo_cultivo]=tabla_base[[#This Row],[tipo_cultivo]]), 0.75)</f>
        <v>5.1318025</v>
      </c>
      <c r="M337" s="7" t="str">
        <f>IF(tabla_base[[#This Row],[Rendimiento_por_hectarea_ton]]&gt;tabla_base[[#This Row],[percentil_0,75]],"Sí","No")</f>
        <v>No</v>
      </c>
      <c r="N337" s="3">
        <v>0.7</v>
      </c>
      <c r="O337" t="s">
        <v>44</v>
      </c>
    </row>
    <row r="338" spans="1:15" x14ac:dyDescent="0.35">
      <c r="A338" t="s">
        <v>370</v>
      </c>
      <c r="B338" s="1" t="s">
        <v>39</v>
      </c>
      <c r="C338" s="1" t="s">
        <v>40</v>
      </c>
      <c r="D338" s="1" t="s">
        <v>35</v>
      </c>
      <c r="E338" s="2">
        <v>16.97</v>
      </c>
      <c r="F338" s="3">
        <v>7.16</v>
      </c>
      <c r="G338" s="3">
        <v>20.79</v>
      </c>
      <c r="H338" s="4">
        <v>172.65</v>
      </c>
      <c r="I338" s="3">
        <v>81.14</v>
      </c>
      <c r="J338" t="s">
        <v>37</v>
      </c>
      <c r="K338" s="5">
        <v>5.1648800000000001</v>
      </c>
      <c r="L338" s="6" cm="1">
        <f t="array" ref="L338">_xlfn.PERCENTILE.INC(_xlfn._xlws.FILTER(tabla_base[Rendimiento_por_hectarea_ton], tabla_base[tipo_cultivo]=tabla_base[[#This Row],[tipo_cultivo]]), 0.75)</f>
        <v>5.1318025</v>
      </c>
      <c r="M338" s="7" t="str">
        <f>IF(tabla_base[[#This Row],[Rendimiento_por_hectarea_ton]]&gt;tabla_base[[#This Row],[percentil_0,75]],"Sí","No")</f>
        <v>Sí</v>
      </c>
      <c r="N338" s="3">
        <v>0.35</v>
      </c>
      <c r="O338" t="s">
        <v>19</v>
      </c>
    </row>
    <row r="339" spans="1:15" x14ac:dyDescent="0.35">
      <c r="A339" t="s">
        <v>371</v>
      </c>
      <c r="B339" s="1" t="s">
        <v>16</v>
      </c>
      <c r="C339" s="1" t="s">
        <v>17</v>
      </c>
      <c r="D339" s="1" t="s">
        <v>31</v>
      </c>
      <c r="E339" s="2">
        <v>24.6</v>
      </c>
      <c r="F339" s="3">
        <v>6.48</v>
      </c>
      <c r="G339" s="3">
        <v>28.76</v>
      </c>
      <c r="H339" s="4">
        <v>111.19</v>
      </c>
      <c r="I339" s="3">
        <v>45.97</v>
      </c>
      <c r="J339" t="s">
        <v>28</v>
      </c>
      <c r="K339" s="5">
        <v>3.7442699999999998</v>
      </c>
      <c r="L339" s="6" cm="1">
        <f t="array" ref="L339">_xlfn.PERCENTILE.INC(_xlfn._xlws.FILTER(tabla_base[Rendimiento_por_hectarea_ton], tabla_base[tipo_cultivo]=tabla_base[[#This Row],[tipo_cultivo]]), 0.75)</f>
        <v>5.1742550000000005</v>
      </c>
      <c r="M339" s="7" t="str">
        <f>IF(tabla_base[[#This Row],[Rendimiento_por_hectarea_ton]]&gt;tabla_base[[#This Row],[percentil_0,75]],"Sí","No")</f>
        <v>No</v>
      </c>
      <c r="N339" s="3">
        <v>0.37</v>
      </c>
      <c r="O339" t="s">
        <v>19</v>
      </c>
    </row>
    <row r="340" spans="1:15" x14ac:dyDescent="0.35">
      <c r="A340" t="s">
        <v>372</v>
      </c>
      <c r="B340" s="1" t="s">
        <v>22</v>
      </c>
      <c r="C340" s="1" t="s">
        <v>30</v>
      </c>
      <c r="D340" s="1" t="s">
        <v>24</v>
      </c>
      <c r="E340" s="2">
        <v>35.65</v>
      </c>
      <c r="F340" s="3">
        <v>5.54</v>
      </c>
      <c r="G340" s="3">
        <v>20.190000000000001</v>
      </c>
      <c r="H340" s="4">
        <v>195.41</v>
      </c>
      <c r="I340" s="3">
        <v>47.31</v>
      </c>
      <c r="J340" t="s">
        <v>25</v>
      </c>
      <c r="K340" s="5">
        <v>4.5449899999999994</v>
      </c>
      <c r="L340" s="6" cm="1">
        <f t="array" ref="L340">_xlfn.PERCENTILE.INC(_xlfn._xlws.FILTER(tabla_base[Rendimiento_por_hectarea_ton], tabla_base[tipo_cultivo]=tabla_base[[#This Row],[tipo_cultivo]]), 0.75)</f>
        <v>5.3984449999999997</v>
      </c>
      <c r="M340" s="7" t="str">
        <f>IF(tabla_base[[#This Row],[Rendimiento_por_hectarea_ton]]&gt;tabla_base[[#This Row],[percentil_0,75]],"Sí","No")</f>
        <v>No</v>
      </c>
      <c r="N340" s="3">
        <v>0.48</v>
      </c>
      <c r="O340" t="s">
        <v>26</v>
      </c>
    </row>
    <row r="341" spans="1:15" x14ac:dyDescent="0.35">
      <c r="A341" t="s">
        <v>373</v>
      </c>
      <c r="B341" s="1" t="s">
        <v>39</v>
      </c>
      <c r="C341" s="1" t="s">
        <v>40</v>
      </c>
      <c r="D341" s="1" t="s">
        <v>35</v>
      </c>
      <c r="E341" s="2">
        <v>36.83</v>
      </c>
      <c r="F341" s="3">
        <v>5.87</v>
      </c>
      <c r="G341" s="3">
        <v>16.89</v>
      </c>
      <c r="H341" s="4">
        <v>238.16</v>
      </c>
      <c r="I341" s="3">
        <v>67.19</v>
      </c>
      <c r="J341" t="s">
        <v>37</v>
      </c>
      <c r="K341" s="5">
        <v>4.1376800000000005</v>
      </c>
      <c r="L341" s="6" cm="1">
        <f t="array" ref="L341">_xlfn.PERCENTILE.INC(_xlfn._xlws.FILTER(tabla_base[Rendimiento_por_hectarea_ton], tabla_base[tipo_cultivo]=tabla_base[[#This Row],[tipo_cultivo]]), 0.75)</f>
        <v>5.1318025</v>
      </c>
      <c r="M341" s="7" t="str">
        <f>IF(tabla_base[[#This Row],[Rendimiento_por_hectarea_ton]]&gt;tabla_base[[#This Row],[percentil_0,75]],"Sí","No")</f>
        <v>No</v>
      </c>
      <c r="N341" s="3">
        <v>0.71</v>
      </c>
      <c r="O341" t="s">
        <v>44</v>
      </c>
    </row>
    <row r="342" spans="1:15" x14ac:dyDescent="0.35">
      <c r="A342" t="s">
        <v>374</v>
      </c>
      <c r="B342" s="1" t="s">
        <v>22</v>
      </c>
      <c r="C342" s="1" t="s">
        <v>23</v>
      </c>
      <c r="D342" s="1" t="s">
        <v>33</v>
      </c>
      <c r="E342" s="2">
        <v>21.91</v>
      </c>
      <c r="F342" s="3">
        <v>7.32</v>
      </c>
      <c r="G342" s="3">
        <v>17.05</v>
      </c>
      <c r="H342" s="4">
        <v>88.64</v>
      </c>
      <c r="I342" s="3">
        <v>51.06</v>
      </c>
      <c r="J342" t="s">
        <v>28</v>
      </c>
      <c r="K342" s="5">
        <v>2.5249299999999999</v>
      </c>
      <c r="L342" s="6" cm="1">
        <f t="array" ref="L342">_xlfn.PERCENTILE.INC(_xlfn._xlws.FILTER(tabla_base[Rendimiento_por_hectarea_ton], tabla_base[tipo_cultivo]=tabla_base[[#This Row],[tipo_cultivo]]), 0.75)</f>
        <v>5.1635450000000001</v>
      </c>
      <c r="M342" s="7" t="str">
        <f>IF(tabla_base[[#This Row],[Rendimiento_por_hectarea_ton]]&gt;tabla_base[[#This Row],[percentil_0,75]],"Sí","No")</f>
        <v>No</v>
      </c>
      <c r="N342" s="3">
        <v>0.57999999999999996</v>
      </c>
      <c r="O342" t="s">
        <v>20</v>
      </c>
    </row>
    <row r="343" spans="1:15" x14ac:dyDescent="0.35">
      <c r="A343" t="s">
        <v>375</v>
      </c>
      <c r="B343" s="1" t="s">
        <v>39</v>
      </c>
      <c r="C343" s="1" t="s">
        <v>40</v>
      </c>
      <c r="D343" s="1" t="s">
        <v>24</v>
      </c>
      <c r="E343" s="2">
        <v>36.729999999999997</v>
      </c>
      <c r="F343" s="3">
        <v>6.18</v>
      </c>
      <c r="G343" s="3">
        <v>29.2</v>
      </c>
      <c r="H343" s="4">
        <v>57.19</v>
      </c>
      <c r="I343" s="3">
        <v>80.73</v>
      </c>
      <c r="J343" t="s">
        <v>25</v>
      </c>
      <c r="K343" s="5">
        <v>5.9244399999999997</v>
      </c>
      <c r="L343" s="6" cm="1">
        <f t="array" ref="L343">_xlfn.PERCENTILE.INC(_xlfn._xlws.FILTER(tabla_base[Rendimiento_por_hectarea_ton], tabla_base[tipo_cultivo]=tabla_base[[#This Row],[tipo_cultivo]]), 0.75)</f>
        <v>5.3984449999999997</v>
      </c>
      <c r="M343" s="7" t="str">
        <f>IF(tabla_base[[#This Row],[Rendimiento_por_hectarea_ton]]&gt;tabla_base[[#This Row],[percentil_0,75]],"Sí","No")</f>
        <v>Sí</v>
      </c>
      <c r="N343" s="3">
        <v>0.77</v>
      </c>
      <c r="O343" t="s">
        <v>19</v>
      </c>
    </row>
    <row r="344" spans="1:15" x14ac:dyDescent="0.35">
      <c r="A344" t="s">
        <v>376</v>
      </c>
      <c r="B344" s="1" t="s">
        <v>22</v>
      </c>
      <c r="C344" s="1" t="s">
        <v>23</v>
      </c>
      <c r="D344" s="1" t="s">
        <v>18</v>
      </c>
      <c r="E344" s="2">
        <v>16.87</v>
      </c>
      <c r="F344" s="3">
        <v>5.57</v>
      </c>
      <c r="G344" s="3">
        <v>28.2</v>
      </c>
      <c r="H344" s="4">
        <v>198.29</v>
      </c>
      <c r="I344" s="3">
        <v>63.45</v>
      </c>
      <c r="J344" t="s">
        <v>28</v>
      </c>
      <c r="K344" s="5">
        <v>5.1294799999999992</v>
      </c>
      <c r="L344" s="6" cm="1">
        <f t="array" ref="L344">_xlfn.PERCENTILE.INC(_xlfn._xlws.FILTER(tabla_base[Rendimiento_por_hectarea_ton], tabla_base[tipo_cultivo]=tabla_base[[#This Row],[tipo_cultivo]]), 0.75)</f>
        <v>5.2079399999999998</v>
      </c>
      <c r="M344" s="7" t="str">
        <f>IF(tabla_base[[#This Row],[Rendimiento_por_hectarea_ton]]&gt;tabla_base[[#This Row],[percentil_0,75]],"Sí","No")</f>
        <v>No</v>
      </c>
      <c r="N344" s="3">
        <v>0.68</v>
      </c>
      <c r="O344" t="s">
        <v>19</v>
      </c>
    </row>
    <row r="345" spans="1:15" x14ac:dyDescent="0.35">
      <c r="A345" t="s">
        <v>377</v>
      </c>
      <c r="B345" s="1" t="s">
        <v>16</v>
      </c>
      <c r="C345" s="1" t="s">
        <v>17</v>
      </c>
      <c r="D345" s="1" t="s">
        <v>18</v>
      </c>
      <c r="E345" s="2">
        <v>15.09</v>
      </c>
      <c r="F345" s="3">
        <v>6.99</v>
      </c>
      <c r="G345" s="3">
        <v>20.55</v>
      </c>
      <c r="H345" s="4">
        <v>194.94</v>
      </c>
      <c r="I345" s="3">
        <v>57.61</v>
      </c>
      <c r="J345" t="s">
        <v>25</v>
      </c>
      <c r="K345" s="5">
        <v>5.0529799999999998</v>
      </c>
      <c r="L345" s="6" cm="1">
        <f t="array" ref="L345">_xlfn.PERCENTILE.INC(_xlfn._xlws.FILTER(tabla_base[Rendimiento_por_hectarea_ton], tabla_base[tipo_cultivo]=tabla_base[[#This Row],[tipo_cultivo]]), 0.75)</f>
        <v>5.2079399999999998</v>
      </c>
      <c r="M345" s="7" t="str">
        <f>IF(tabla_base[[#This Row],[Rendimiento_por_hectarea_ton]]&gt;tabla_base[[#This Row],[percentil_0,75]],"Sí","No")</f>
        <v>No</v>
      </c>
      <c r="N345" s="3">
        <v>0.36</v>
      </c>
      <c r="O345" t="s">
        <v>19</v>
      </c>
    </row>
    <row r="346" spans="1:15" x14ac:dyDescent="0.35">
      <c r="A346" t="s">
        <v>378</v>
      </c>
      <c r="B346" s="1" t="s">
        <v>16</v>
      </c>
      <c r="C346" s="1" t="s">
        <v>17</v>
      </c>
      <c r="D346" s="1" t="s">
        <v>35</v>
      </c>
      <c r="E346" s="2">
        <v>42.22</v>
      </c>
      <c r="F346" s="3">
        <v>7.2</v>
      </c>
      <c r="G346" s="3">
        <v>24.49</v>
      </c>
      <c r="H346" s="4">
        <v>224.53</v>
      </c>
      <c r="I346" s="3">
        <v>49.26</v>
      </c>
      <c r="J346" t="s">
        <v>28</v>
      </c>
      <c r="K346" s="5">
        <v>4.0570000000000004</v>
      </c>
      <c r="L346" s="6" cm="1">
        <f t="array" ref="L346">_xlfn.PERCENTILE.INC(_xlfn._xlws.FILTER(tabla_base[Rendimiento_por_hectarea_ton], tabla_base[tipo_cultivo]=tabla_base[[#This Row],[tipo_cultivo]]), 0.75)</f>
        <v>5.1318025</v>
      </c>
      <c r="M346" s="7" t="str">
        <f>IF(tabla_base[[#This Row],[Rendimiento_por_hectarea_ton]]&gt;tabla_base[[#This Row],[percentil_0,75]],"Sí","No")</f>
        <v>No</v>
      </c>
      <c r="N346" s="3">
        <v>0.42</v>
      </c>
      <c r="O346" t="s">
        <v>26</v>
      </c>
    </row>
    <row r="347" spans="1:15" x14ac:dyDescent="0.35">
      <c r="A347" t="s">
        <v>379</v>
      </c>
      <c r="B347" s="1" t="s">
        <v>39</v>
      </c>
      <c r="C347" s="1" t="s">
        <v>40</v>
      </c>
      <c r="D347" s="1" t="s">
        <v>35</v>
      </c>
      <c r="E347" s="2">
        <v>27.35</v>
      </c>
      <c r="F347" s="3">
        <v>6.22</v>
      </c>
      <c r="G347" s="3">
        <v>20.77</v>
      </c>
      <c r="H347" s="4">
        <v>230.53</v>
      </c>
      <c r="I347" s="3">
        <v>44.11</v>
      </c>
      <c r="J347" t="s">
        <v>19</v>
      </c>
      <c r="K347" s="5">
        <v>5.9047200000000002</v>
      </c>
      <c r="L347" s="6" cm="1">
        <f t="array" ref="L347">_xlfn.PERCENTILE.INC(_xlfn._xlws.FILTER(tabla_base[Rendimiento_por_hectarea_ton], tabla_base[tipo_cultivo]=tabla_base[[#This Row],[tipo_cultivo]]), 0.75)</f>
        <v>5.1318025</v>
      </c>
      <c r="M347" s="7" t="str">
        <f>IF(tabla_base[[#This Row],[Rendimiento_por_hectarea_ton]]&gt;tabla_base[[#This Row],[percentil_0,75]],"Sí","No")</f>
        <v>Sí</v>
      </c>
      <c r="N347" s="3">
        <v>0.81</v>
      </c>
      <c r="O347" t="s">
        <v>20</v>
      </c>
    </row>
    <row r="348" spans="1:15" x14ac:dyDescent="0.35">
      <c r="A348" t="s">
        <v>380</v>
      </c>
      <c r="B348" s="1" t="s">
        <v>16</v>
      </c>
      <c r="C348" s="1" t="s">
        <v>23</v>
      </c>
      <c r="D348" s="1" t="s">
        <v>18</v>
      </c>
      <c r="E348" s="2">
        <v>41.32</v>
      </c>
      <c r="F348" s="3">
        <v>7.1</v>
      </c>
      <c r="G348" s="3">
        <v>33.78</v>
      </c>
      <c r="H348" s="4">
        <v>141.86000000000001</v>
      </c>
      <c r="I348" s="3">
        <v>40.64</v>
      </c>
      <c r="J348" t="s">
        <v>28</v>
      </c>
      <c r="K348" s="5">
        <v>2.4768699999999999</v>
      </c>
      <c r="L348" s="6" cm="1">
        <f t="array" ref="L348">_xlfn.PERCENTILE.INC(_xlfn._xlws.FILTER(tabla_base[Rendimiento_por_hectarea_ton], tabla_base[tipo_cultivo]=tabla_base[[#This Row],[tipo_cultivo]]), 0.75)</f>
        <v>5.2079399999999998</v>
      </c>
      <c r="M348" s="7" t="str">
        <f>IF(tabla_base[[#This Row],[Rendimiento_por_hectarea_ton]]&gt;tabla_base[[#This Row],[percentil_0,75]],"Sí","No")</f>
        <v>No</v>
      </c>
      <c r="N348" s="3">
        <v>0.79</v>
      </c>
      <c r="O348" t="s">
        <v>44</v>
      </c>
    </row>
    <row r="349" spans="1:15" x14ac:dyDescent="0.35">
      <c r="A349" t="s">
        <v>381</v>
      </c>
      <c r="B349" s="1" t="s">
        <v>16</v>
      </c>
      <c r="C349" s="1" t="s">
        <v>17</v>
      </c>
      <c r="D349" s="1" t="s">
        <v>31</v>
      </c>
      <c r="E349" s="2">
        <v>44.13</v>
      </c>
      <c r="F349" s="3">
        <v>6.18</v>
      </c>
      <c r="G349" s="3">
        <v>26.9</v>
      </c>
      <c r="H349" s="4">
        <v>297.67</v>
      </c>
      <c r="I349" s="3">
        <v>46.14</v>
      </c>
      <c r="J349" t="s">
        <v>19</v>
      </c>
      <c r="K349" s="5">
        <v>5.0252100000000004</v>
      </c>
      <c r="L349" s="6" cm="1">
        <f t="array" ref="L349">_xlfn.PERCENTILE.INC(_xlfn._xlws.FILTER(tabla_base[Rendimiento_por_hectarea_ton], tabla_base[tipo_cultivo]=tabla_base[[#This Row],[tipo_cultivo]]), 0.75)</f>
        <v>5.1742550000000005</v>
      </c>
      <c r="M349" s="7" t="str">
        <f>IF(tabla_base[[#This Row],[Rendimiento_por_hectarea_ton]]&gt;tabla_base[[#This Row],[percentil_0,75]],"Sí","No")</f>
        <v>No</v>
      </c>
      <c r="N349" s="3">
        <v>0.71</v>
      </c>
      <c r="O349" t="s">
        <v>44</v>
      </c>
    </row>
    <row r="350" spans="1:15" x14ac:dyDescent="0.35">
      <c r="A350" t="s">
        <v>382</v>
      </c>
      <c r="B350" s="1" t="s">
        <v>22</v>
      </c>
      <c r="C350" s="1" t="s">
        <v>23</v>
      </c>
      <c r="D350" s="1" t="s">
        <v>24</v>
      </c>
      <c r="E350" s="2">
        <v>19.760000000000002</v>
      </c>
      <c r="F350" s="3">
        <v>7.04</v>
      </c>
      <c r="G350" s="3">
        <v>17.16</v>
      </c>
      <c r="H350" s="4">
        <v>112.67</v>
      </c>
      <c r="I350" s="3">
        <v>64.86</v>
      </c>
      <c r="J350" t="s">
        <v>25</v>
      </c>
      <c r="K350" s="5">
        <v>3.99254</v>
      </c>
      <c r="L350" s="6" cm="1">
        <f t="array" ref="L350">_xlfn.PERCENTILE.INC(_xlfn._xlws.FILTER(tabla_base[Rendimiento_por_hectarea_ton], tabla_base[tipo_cultivo]=tabla_base[[#This Row],[tipo_cultivo]]), 0.75)</f>
        <v>5.3984449999999997</v>
      </c>
      <c r="M350" s="7" t="str">
        <f>IF(tabla_base[[#This Row],[Rendimiento_por_hectarea_ton]]&gt;tabla_base[[#This Row],[percentil_0,75]],"Sí","No")</f>
        <v>No</v>
      </c>
      <c r="N350" s="3">
        <v>0.34</v>
      </c>
      <c r="O350" t="s">
        <v>44</v>
      </c>
    </row>
    <row r="351" spans="1:15" x14ac:dyDescent="0.35">
      <c r="A351" t="s">
        <v>383</v>
      </c>
      <c r="B351" s="1" t="s">
        <v>22</v>
      </c>
      <c r="C351" s="1" t="s">
        <v>30</v>
      </c>
      <c r="D351" s="1" t="s">
        <v>24</v>
      </c>
      <c r="E351" s="2">
        <v>31.81</v>
      </c>
      <c r="F351" s="3">
        <v>7.02</v>
      </c>
      <c r="G351" s="3">
        <v>28.22</v>
      </c>
      <c r="H351" s="4">
        <v>179.99</v>
      </c>
      <c r="I351" s="3">
        <v>64.61</v>
      </c>
      <c r="J351" t="s">
        <v>37</v>
      </c>
      <c r="K351" s="5">
        <v>3.37446</v>
      </c>
      <c r="L351" s="6" cm="1">
        <f t="array" ref="L351">_xlfn.PERCENTILE.INC(_xlfn._xlws.FILTER(tabla_base[Rendimiento_por_hectarea_ton], tabla_base[tipo_cultivo]=tabla_base[[#This Row],[tipo_cultivo]]), 0.75)</f>
        <v>5.3984449999999997</v>
      </c>
      <c r="M351" s="7" t="str">
        <f>IF(tabla_base[[#This Row],[Rendimiento_por_hectarea_ton]]&gt;tabla_base[[#This Row],[percentil_0,75]],"Sí","No")</f>
        <v>No</v>
      </c>
      <c r="N351" s="3">
        <v>0.3</v>
      </c>
      <c r="O351" t="s">
        <v>44</v>
      </c>
    </row>
    <row r="352" spans="1:15" x14ac:dyDescent="0.35">
      <c r="A352" t="s">
        <v>384</v>
      </c>
      <c r="B352" s="1" t="s">
        <v>16</v>
      </c>
      <c r="C352" s="1" t="s">
        <v>17</v>
      </c>
      <c r="D352" s="1" t="s">
        <v>33</v>
      </c>
      <c r="E352" s="2">
        <v>25.75</v>
      </c>
      <c r="F352" s="3">
        <v>7.21</v>
      </c>
      <c r="G352" s="3">
        <v>23.85</v>
      </c>
      <c r="H352" s="4">
        <v>59</v>
      </c>
      <c r="I352" s="3">
        <v>48.84</v>
      </c>
      <c r="J352" t="s">
        <v>37</v>
      </c>
      <c r="K352" s="5">
        <v>4.8628900000000002</v>
      </c>
      <c r="L352" s="6" cm="1">
        <f t="array" ref="L352">_xlfn.PERCENTILE.INC(_xlfn._xlws.FILTER(tabla_base[Rendimiento_por_hectarea_ton], tabla_base[tipo_cultivo]=tabla_base[[#This Row],[tipo_cultivo]]), 0.75)</f>
        <v>5.1635450000000001</v>
      </c>
      <c r="M352" s="7" t="str">
        <f>IF(tabla_base[[#This Row],[Rendimiento_por_hectarea_ton]]&gt;tabla_base[[#This Row],[percentil_0,75]],"Sí","No")</f>
        <v>No</v>
      </c>
      <c r="N352" s="3">
        <v>0.88</v>
      </c>
      <c r="O352" t="s">
        <v>26</v>
      </c>
    </row>
    <row r="353" spans="1:15" x14ac:dyDescent="0.35">
      <c r="A353" t="s">
        <v>385</v>
      </c>
      <c r="B353" s="1" t="s">
        <v>22</v>
      </c>
      <c r="C353" s="1" t="s">
        <v>23</v>
      </c>
      <c r="D353" s="1" t="s">
        <v>24</v>
      </c>
      <c r="E353" s="2">
        <v>39.9</v>
      </c>
      <c r="F353" s="3">
        <v>6.51</v>
      </c>
      <c r="G353" s="3">
        <v>22.83</v>
      </c>
      <c r="H353" s="4">
        <v>173.67</v>
      </c>
      <c r="I353" s="3">
        <v>88.54</v>
      </c>
      <c r="J353" t="s">
        <v>37</v>
      </c>
      <c r="K353" s="5">
        <v>2.5127899999999999</v>
      </c>
      <c r="L353" s="6" cm="1">
        <f t="array" ref="L353">_xlfn.PERCENTILE.INC(_xlfn._xlws.FILTER(tabla_base[Rendimiento_por_hectarea_ton], tabla_base[tipo_cultivo]=tabla_base[[#This Row],[tipo_cultivo]]), 0.75)</f>
        <v>5.3984449999999997</v>
      </c>
      <c r="M353" s="7" t="str">
        <f>IF(tabla_base[[#This Row],[Rendimiento_por_hectarea_ton]]&gt;tabla_base[[#This Row],[percentil_0,75]],"Sí","No")</f>
        <v>No</v>
      </c>
      <c r="N353" s="3">
        <v>0.41</v>
      </c>
      <c r="O353" t="s">
        <v>19</v>
      </c>
    </row>
    <row r="354" spans="1:15" x14ac:dyDescent="0.35">
      <c r="A354" t="s">
        <v>386</v>
      </c>
      <c r="B354" s="1" t="s">
        <v>22</v>
      </c>
      <c r="C354" s="1" t="s">
        <v>23</v>
      </c>
      <c r="D354" s="1" t="s">
        <v>18</v>
      </c>
      <c r="E354" s="2">
        <v>24.99</v>
      </c>
      <c r="F354" s="3">
        <v>7.48</v>
      </c>
      <c r="G354" s="3">
        <v>23.24</v>
      </c>
      <c r="H354" s="4">
        <v>64.11</v>
      </c>
      <c r="I354" s="3">
        <v>52.21</v>
      </c>
      <c r="J354" t="s">
        <v>37</v>
      </c>
      <c r="K354" s="5">
        <v>3.2196500000000001</v>
      </c>
      <c r="L354" s="6" cm="1">
        <f t="array" ref="L354">_xlfn.PERCENTILE.INC(_xlfn._xlws.FILTER(tabla_base[Rendimiento_por_hectarea_ton], tabla_base[tipo_cultivo]=tabla_base[[#This Row],[tipo_cultivo]]), 0.75)</f>
        <v>5.2079399999999998</v>
      </c>
      <c r="M354" s="7" t="str">
        <f>IF(tabla_base[[#This Row],[Rendimiento_por_hectarea_ton]]&gt;tabla_base[[#This Row],[percentil_0,75]],"Sí","No")</f>
        <v>No</v>
      </c>
      <c r="N354" s="3">
        <v>0.38</v>
      </c>
      <c r="O354" t="s">
        <v>20</v>
      </c>
    </row>
    <row r="355" spans="1:15" x14ac:dyDescent="0.35">
      <c r="A355" t="s">
        <v>387</v>
      </c>
      <c r="B355" s="1" t="s">
        <v>39</v>
      </c>
      <c r="C355" s="1" t="s">
        <v>40</v>
      </c>
      <c r="D355" s="1" t="s">
        <v>24</v>
      </c>
      <c r="E355" s="2">
        <v>41.55</v>
      </c>
      <c r="F355" s="3">
        <v>6.03</v>
      </c>
      <c r="G355" s="3">
        <v>28.92</v>
      </c>
      <c r="H355" s="4">
        <v>197</v>
      </c>
      <c r="I355" s="3">
        <v>89.29</v>
      </c>
      <c r="J355" t="s">
        <v>19</v>
      </c>
      <c r="K355" s="5">
        <v>4.70045</v>
      </c>
      <c r="L355" s="6" cm="1">
        <f t="array" ref="L355">_xlfn.PERCENTILE.INC(_xlfn._xlws.FILTER(tabla_base[Rendimiento_por_hectarea_ton], tabla_base[tipo_cultivo]=tabla_base[[#This Row],[tipo_cultivo]]), 0.75)</f>
        <v>5.3984449999999997</v>
      </c>
      <c r="M355" s="7" t="str">
        <f>IF(tabla_base[[#This Row],[Rendimiento_por_hectarea_ton]]&gt;tabla_base[[#This Row],[percentil_0,75]],"Sí","No")</f>
        <v>No</v>
      </c>
      <c r="N355" s="3">
        <v>0.55000000000000004</v>
      </c>
      <c r="O355" t="s">
        <v>26</v>
      </c>
    </row>
    <row r="356" spans="1:15" x14ac:dyDescent="0.35">
      <c r="A356" t="s">
        <v>388</v>
      </c>
      <c r="B356" s="1" t="s">
        <v>39</v>
      </c>
      <c r="C356" s="1" t="s">
        <v>40</v>
      </c>
      <c r="D356" s="1" t="s">
        <v>31</v>
      </c>
      <c r="E356" s="2">
        <v>22.72</v>
      </c>
      <c r="F356" s="3">
        <v>6.37</v>
      </c>
      <c r="G356" s="3">
        <v>24.94</v>
      </c>
      <c r="H356" s="4">
        <v>261.83</v>
      </c>
      <c r="I356" s="3">
        <v>79.36</v>
      </c>
      <c r="J356" t="s">
        <v>25</v>
      </c>
      <c r="K356" s="5">
        <v>5.2184099999999995</v>
      </c>
      <c r="L356" s="6" cm="1">
        <f t="array" ref="L356">_xlfn.PERCENTILE.INC(_xlfn._xlws.FILTER(tabla_base[Rendimiento_por_hectarea_ton], tabla_base[tipo_cultivo]=tabla_base[[#This Row],[tipo_cultivo]]), 0.75)</f>
        <v>5.1742550000000005</v>
      </c>
      <c r="M356" s="7" t="str">
        <f>IF(tabla_base[[#This Row],[Rendimiento_por_hectarea_ton]]&gt;tabla_base[[#This Row],[percentil_0,75]],"Sí","No")</f>
        <v>Sí</v>
      </c>
      <c r="N356" s="3">
        <v>0.35</v>
      </c>
      <c r="O356" t="s">
        <v>20</v>
      </c>
    </row>
    <row r="357" spans="1:15" x14ac:dyDescent="0.35">
      <c r="A357" t="s">
        <v>389</v>
      </c>
      <c r="B357" s="1" t="s">
        <v>39</v>
      </c>
      <c r="C357" s="1" t="s">
        <v>40</v>
      </c>
      <c r="D357" s="1" t="s">
        <v>31</v>
      </c>
      <c r="E357" s="2">
        <v>19.57</v>
      </c>
      <c r="F357" s="3">
        <v>6.63</v>
      </c>
      <c r="G357" s="3">
        <v>25.62</v>
      </c>
      <c r="H357" s="4">
        <v>156.78</v>
      </c>
      <c r="I357" s="3">
        <v>57.37</v>
      </c>
      <c r="J357" t="s">
        <v>37</v>
      </c>
      <c r="K357" s="5">
        <v>3.2534099999999997</v>
      </c>
      <c r="L357" s="6" cm="1">
        <f t="array" ref="L357">_xlfn.PERCENTILE.INC(_xlfn._xlws.FILTER(tabla_base[Rendimiento_por_hectarea_ton], tabla_base[tipo_cultivo]=tabla_base[[#This Row],[tipo_cultivo]]), 0.75)</f>
        <v>5.1742550000000005</v>
      </c>
      <c r="M357" s="7" t="str">
        <f>IF(tabla_base[[#This Row],[Rendimiento_por_hectarea_ton]]&gt;tabla_base[[#This Row],[percentil_0,75]],"Sí","No")</f>
        <v>No</v>
      </c>
      <c r="N357" s="3">
        <v>0.68</v>
      </c>
      <c r="O357" t="s">
        <v>20</v>
      </c>
    </row>
    <row r="358" spans="1:15" x14ac:dyDescent="0.35">
      <c r="A358" t="s">
        <v>390</v>
      </c>
      <c r="B358" s="1" t="s">
        <v>16</v>
      </c>
      <c r="C358" s="1" t="s">
        <v>17</v>
      </c>
      <c r="D358" s="1" t="s">
        <v>24</v>
      </c>
      <c r="E358" s="2">
        <v>40.19</v>
      </c>
      <c r="F358" s="3">
        <v>6.65</v>
      </c>
      <c r="G358" s="3">
        <v>19.260000000000002</v>
      </c>
      <c r="H358" s="4">
        <v>290.52999999999997</v>
      </c>
      <c r="I358" s="3">
        <v>77.11</v>
      </c>
      <c r="J358" t="s">
        <v>19</v>
      </c>
      <c r="K358" s="5">
        <v>3.4571000000000001</v>
      </c>
      <c r="L358" s="6" cm="1">
        <f t="array" ref="L358">_xlfn.PERCENTILE.INC(_xlfn._xlws.FILTER(tabla_base[Rendimiento_por_hectarea_ton], tabla_base[tipo_cultivo]=tabla_base[[#This Row],[tipo_cultivo]]), 0.75)</f>
        <v>5.3984449999999997</v>
      </c>
      <c r="M358" s="7" t="str">
        <f>IF(tabla_base[[#This Row],[Rendimiento_por_hectarea_ton]]&gt;tabla_base[[#This Row],[percentil_0,75]],"Sí","No")</f>
        <v>No</v>
      </c>
      <c r="N358" s="3">
        <v>0.79</v>
      </c>
      <c r="O358" t="s">
        <v>20</v>
      </c>
    </row>
    <row r="359" spans="1:15" x14ac:dyDescent="0.35">
      <c r="A359" t="s">
        <v>391</v>
      </c>
      <c r="B359" s="1" t="s">
        <v>22</v>
      </c>
      <c r="C359" s="1" t="s">
        <v>23</v>
      </c>
      <c r="D359" s="1" t="s">
        <v>31</v>
      </c>
      <c r="E359" s="2">
        <v>40.11</v>
      </c>
      <c r="F359" s="3">
        <v>7.32</v>
      </c>
      <c r="G359" s="3">
        <v>27.68</v>
      </c>
      <c r="H359" s="4">
        <v>261.49</v>
      </c>
      <c r="I359" s="3">
        <v>53.35</v>
      </c>
      <c r="J359" t="s">
        <v>25</v>
      </c>
      <c r="K359" s="5">
        <v>2.4542299999999999</v>
      </c>
      <c r="L359" s="6" cm="1">
        <f t="array" ref="L359">_xlfn.PERCENTILE.INC(_xlfn._xlws.FILTER(tabla_base[Rendimiento_por_hectarea_ton], tabla_base[tipo_cultivo]=tabla_base[[#This Row],[tipo_cultivo]]), 0.75)</f>
        <v>5.1742550000000005</v>
      </c>
      <c r="M359" s="7" t="str">
        <f>IF(tabla_base[[#This Row],[Rendimiento_por_hectarea_ton]]&gt;tabla_base[[#This Row],[percentil_0,75]],"Sí","No")</f>
        <v>No</v>
      </c>
      <c r="N359" s="3">
        <v>0.45</v>
      </c>
      <c r="O359" t="s">
        <v>44</v>
      </c>
    </row>
    <row r="360" spans="1:15" x14ac:dyDescent="0.35">
      <c r="A360" t="s">
        <v>392</v>
      </c>
      <c r="B360" s="1" t="s">
        <v>39</v>
      </c>
      <c r="C360" s="1" t="s">
        <v>40</v>
      </c>
      <c r="D360" s="1" t="s">
        <v>33</v>
      </c>
      <c r="E360" s="2">
        <v>24.77</v>
      </c>
      <c r="F360" s="3">
        <v>7.31</v>
      </c>
      <c r="G360" s="3">
        <v>19.04</v>
      </c>
      <c r="H360" s="4">
        <v>118.18</v>
      </c>
      <c r="I360" s="3">
        <v>41.46</v>
      </c>
      <c r="J360" t="s">
        <v>37</v>
      </c>
      <c r="K360" s="5">
        <v>5.8551500000000001</v>
      </c>
      <c r="L360" s="6" cm="1">
        <f t="array" ref="L360">_xlfn.PERCENTILE.INC(_xlfn._xlws.FILTER(tabla_base[Rendimiento_por_hectarea_ton], tabla_base[tipo_cultivo]=tabla_base[[#This Row],[tipo_cultivo]]), 0.75)</f>
        <v>5.1635450000000001</v>
      </c>
      <c r="M360" s="7" t="str">
        <f>IF(tabla_base[[#This Row],[Rendimiento_por_hectarea_ton]]&gt;tabla_base[[#This Row],[percentil_0,75]],"Sí","No")</f>
        <v>Sí</v>
      </c>
      <c r="N360" s="3">
        <v>0.3</v>
      </c>
      <c r="O360" t="s">
        <v>26</v>
      </c>
    </row>
    <row r="361" spans="1:15" x14ac:dyDescent="0.35">
      <c r="A361" t="s">
        <v>393</v>
      </c>
      <c r="B361" s="1" t="s">
        <v>39</v>
      </c>
      <c r="C361" s="1" t="s">
        <v>40</v>
      </c>
      <c r="D361" s="1" t="s">
        <v>31</v>
      </c>
      <c r="E361" s="2">
        <v>40.35</v>
      </c>
      <c r="F361" s="3">
        <v>7.3</v>
      </c>
      <c r="G361" s="3">
        <v>23.14</v>
      </c>
      <c r="H361" s="4">
        <v>140.86000000000001</v>
      </c>
      <c r="I361" s="3">
        <v>72.87</v>
      </c>
      <c r="J361" t="s">
        <v>25</v>
      </c>
      <c r="K361" s="5">
        <v>2.4825699999999999</v>
      </c>
      <c r="L361" s="6" cm="1">
        <f t="array" ref="L361">_xlfn.PERCENTILE.INC(_xlfn._xlws.FILTER(tabla_base[Rendimiento_por_hectarea_ton], tabla_base[tipo_cultivo]=tabla_base[[#This Row],[tipo_cultivo]]), 0.75)</f>
        <v>5.1742550000000005</v>
      </c>
      <c r="M361" s="7" t="str">
        <f>IF(tabla_base[[#This Row],[Rendimiento_por_hectarea_ton]]&gt;tabla_base[[#This Row],[percentil_0,75]],"Sí","No")</f>
        <v>No</v>
      </c>
      <c r="N361" s="3">
        <v>0.79</v>
      </c>
      <c r="O361" t="s">
        <v>44</v>
      </c>
    </row>
    <row r="362" spans="1:15" x14ac:dyDescent="0.35">
      <c r="A362" t="s">
        <v>394</v>
      </c>
      <c r="B362" s="1" t="s">
        <v>16</v>
      </c>
      <c r="C362" s="1" t="s">
        <v>23</v>
      </c>
      <c r="D362" s="1" t="s">
        <v>24</v>
      </c>
      <c r="E362" s="2">
        <v>14.28</v>
      </c>
      <c r="F362" s="3">
        <v>7.11</v>
      </c>
      <c r="G362" s="3">
        <v>21.59</v>
      </c>
      <c r="H362" s="4">
        <v>196.08</v>
      </c>
      <c r="I362" s="3">
        <v>59.5</v>
      </c>
      <c r="J362" t="s">
        <v>25</v>
      </c>
      <c r="K362" s="5">
        <v>5.8796899999999992</v>
      </c>
      <c r="L362" s="6" cm="1">
        <f t="array" ref="L362">_xlfn.PERCENTILE.INC(_xlfn._xlws.FILTER(tabla_base[Rendimiento_por_hectarea_ton], tabla_base[tipo_cultivo]=tabla_base[[#This Row],[tipo_cultivo]]), 0.75)</f>
        <v>5.3984449999999997</v>
      </c>
      <c r="M362" s="7" t="str">
        <f>IF(tabla_base[[#This Row],[Rendimiento_por_hectarea_ton]]&gt;tabla_base[[#This Row],[percentil_0,75]],"Sí","No")</f>
        <v>Sí</v>
      </c>
      <c r="N362" s="3">
        <v>0.49</v>
      </c>
      <c r="O362" t="s">
        <v>19</v>
      </c>
    </row>
    <row r="363" spans="1:15" x14ac:dyDescent="0.35">
      <c r="A363" t="s">
        <v>395</v>
      </c>
      <c r="B363" s="1" t="s">
        <v>16</v>
      </c>
      <c r="C363" s="1" t="s">
        <v>17</v>
      </c>
      <c r="D363" s="1" t="s">
        <v>31</v>
      </c>
      <c r="E363" s="2">
        <v>29.1</v>
      </c>
      <c r="F363" s="3">
        <v>6.45</v>
      </c>
      <c r="G363" s="3">
        <v>19.93</v>
      </c>
      <c r="H363" s="4">
        <v>119.43</v>
      </c>
      <c r="I363" s="3">
        <v>79.209999999999994</v>
      </c>
      <c r="J363" t="s">
        <v>19</v>
      </c>
      <c r="K363" s="5">
        <v>5.8672200000000005</v>
      </c>
      <c r="L363" s="6" cm="1">
        <f t="array" ref="L363">_xlfn.PERCENTILE.INC(_xlfn._xlws.FILTER(tabla_base[Rendimiento_por_hectarea_ton], tabla_base[tipo_cultivo]=tabla_base[[#This Row],[tipo_cultivo]]), 0.75)</f>
        <v>5.1742550000000005</v>
      </c>
      <c r="M363" s="7" t="str">
        <f>IF(tabla_base[[#This Row],[Rendimiento_por_hectarea_ton]]&gt;tabla_base[[#This Row],[percentil_0,75]],"Sí","No")</f>
        <v>Sí</v>
      </c>
      <c r="N363" s="3">
        <v>0.34</v>
      </c>
      <c r="O363" t="s">
        <v>19</v>
      </c>
    </row>
    <row r="364" spans="1:15" x14ac:dyDescent="0.35">
      <c r="A364" t="s">
        <v>396</v>
      </c>
      <c r="B364" s="1" t="s">
        <v>22</v>
      </c>
      <c r="C364" s="1" t="s">
        <v>30</v>
      </c>
      <c r="D364" s="1" t="s">
        <v>24</v>
      </c>
      <c r="E364" s="2">
        <v>23.46</v>
      </c>
      <c r="F364" s="3">
        <v>6.78</v>
      </c>
      <c r="G364" s="3">
        <v>29.01</v>
      </c>
      <c r="H364" s="4">
        <v>275.79000000000002</v>
      </c>
      <c r="I364" s="3">
        <v>74.260000000000005</v>
      </c>
      <c r="J364" t="s">
        <v>25</v>
      </c>
      <c r="K364" s="5">
        <v>2.3610000000000002</v>
      </c>
      <c r="L364" s="6" cm="1">
        <f t="array" ref="L364">_xlfn.PERCENTILE.INC(_xlfn._xlws.FILTER(tabla_base[Rendimiento_por_hectarea_ton], tabla_base[tipo_cultivo]=tabla_base[[#This Row],[tipo_cultivo]]), 0.75)</f>
        <v>5.3984449999999997</v>
      </c>
      <c r="M364" s="7" t="str">
        <f>IF(tabla_base[[#This Row],[Rendimiento_por_hectarea_ton]]&gt;tabla_base[[#This Row],[percentil_0,75]],"Sí","No")</f>
        <v>No</v>
      </c>
      <c r="N364" s="3">
        <v>0.73</v>
      </c>
      <c r="O364" t="s">
        <v>44</v>
      </c>
    </row>
    <row r="365" spans="1:15" x14ac:dyDescent="0.35">
      <c r="A365" t="s">
        <v>397</v>
      </c>
      <c r="B365" s="1" t="s">
        <v>22</v>
      </c>
      <c r="C365" s="1" t="s">
        <v>23</v>
      </c>
      <c r="D365" s="1" t="s">
        <v>31</v>
      </c>
      <c r="E365" s="2">
        <v>40.78</v>
      </c>
      <c r="F365" s="3">
        <v>7.03</v>
      </c>
      <c r="G365" s="3">
        <v>23.13</v>
      </c>
      <c r="H365" s="4">
        <v>58.47</v>
      </c>
      <c r="I365" s="3">
        <v>83.32</v>
      </c>
      <c r="J365" t="s">
        <v>19</v>
      </c>
      <c r="K365" s="5">
        <v>5.5070399999999999</v>
      </c>
      <c r="L365" s="6" cm="1">
        <f t="array" ref="L365">_xlfn.PERCENTILE.INC(_xlfn._xlws.FILTER(tabla_base[Rendimiento_por_hectarea_ton], tabla_base[tipo_cultivo]=tabla_base[[#This Row],[tipo_cultivo]]), 0.75)</f>
        <v>5.1742550000000005</v>
      </c>
      <c r="M365" s="7" t="str">
        <f>IF(tabla_base[[#This Row],[Rendimiento_por_hectarea_ton]]&gt;tabla_base[[#This Row],[percentil_0,75]],"Sí","No")</f>
        <v>Sí</v>
      </c>
      <c r="N365" s="3">
        <v>0.57999999999999996</v>
      </c>
      <c r="O365" t="s">
        <v>44</v>
      </c>
    </row>
    <row r="366" spans="1:15" x14ac:dyDescent="0.35">
      <c r="A366" t="s">
        <v>398</v>
      </c>
      <c r="B366" s="1" t="s">
        <v>22</v>
      </c>
      <c r="C366" s="1" t="s">
        <v>30</v>
      </c>
      <c r="D366" s="1" t="s">
        <v>33</v>
      </c>
      <c r="E366" s="2">
        <v>31.07</v>
      </c>
      <c r="F366" s="3">
        <v>7.13</v>
      </c>
      <c r="G366" s="3">
        <v>29.76</v>
      </c>
      <c r="H366" s="4">
        <v>163.32</v>
      </c>
      <c r="I366" s="3">
        <v>41.37</v>
      </c>
      <c r="J366" t="s">
        <v>25</v>
      </c>
      <c r="K366" s="5">
        <v>3.6026500000000001</v>
      </c>
      <c r="L366" s="6" cm="1">
        <f t="array" ref="L366">_xlfn.PERCENTILE.INC(_xlfn._xlws.FILTER(tabla_base[Rendimiento_por_hectarea_ton], tabla_base[tipo_cultivo]=tabla_base[[#This Row],[tipo_cultivo]]), 0.75)</f>
        <v>5.1635450000000001</v>
      </c>
      <c r="M366" s="7" t="str">
        <f>IF(tabla_base[[#This Row],[Rendimiento_por_hectarea_ton]]&gt;tabla_base[[#This Row],[percentil_0,75]],"Sí","No")</f>
        <v>No</v>
      </c>
      <c r="N366" s="3">
        <v>0.86</v>
      </c>
      <c r="O366" t="s">
        <v>26</v>
      </c>
    </row>
    <row r="367" spans="1:15" x14ac:dyDescent="0.35">
      <c r="A367" t="s">
        <v>399</v>
      </c>
      <c r="B367" s="1" t="s">
        <v>39</v>
      </c>
      <c r="C367" s="1" t="s">
        <v>40</v>
      </c>
      <c r="D367" s="1" t="s">
        <v>35</v>
      </c>
      <c r="E367" s="2">
        <v>39.64</v>
      </c>
      <c r="F367" s="3">
        <v>6.87</v>
      </c>
      <c r="G367" s="3">
        <v>30.85</v>
      </c>
      <c r="H367" s="4">
        <v>129.85</v>
      </c>
      <c r="I367" s="3">
        <v>63.92</v>
      </c>
      <c r="J367" t="s">
        <v>37</v>
      </c>
      <c r="K367" s="5">
        <v>2.7946500000000003</v>
      </c>
      <c r="L367" s="6" cm="1">
        <f t="array" ref="L367">_xlfn.PERCENTILE.INC(_xlfn._xlws.FILTER(tabla_base[Rendimiento_por_hectarea_ton], tabla_base[tipo_cultivo]=tabla_base[[#This Row],[tipo_cultivo]]), 0.75)</f>
        <v>5.1318025</v>
      </c>
      <c r="M367" s="7" t="str">
        <f>IF(tabla_base[[#This Row],[Rendimiento_por_hectarea_ton]]&gt;tabla_base[[#This Row],[percentil_0,75]],"Sí","No")</f>
        <v>No</v>
      </c>
      <c r="N367" s="3">
        <v>0.75</v>
      </c>
      <c r="O367" t="s">
        <v>44</v>
      </c>
    </row>
    <row r="368" spans="1:15" x14ac:dyDescent="0.35">
      <c r="A368" t="s">
        <v>400</v>
      </c>
      <c r="B368" s="1" t="s">
        <v>16</v>
      </c>
      <c r="C368" s="1" t="s">
        <v>17</v>
      </c>
      <c r="D368" s="1" t="s">
        <v>18</v>
      </c>
      <c r="E368" s="2">
        <v>42.31</v>
      </c>
      <c r="F368" s="3">
        <v>6.79</v>
      </c>
      <c r="G368" s="3">
        <v>27.53</v>
      </c>
      <c r="H368" s="4">
        <v>276.70999999999998</v>
      </c>
      <c r="I368" s="3">
        <v>88.71</v>
      </c>
      <c r="J368" t="s">
        <v>25</v>
      </c>
      <c r="K368" s="5">
        <v>2.597</v>
      </c>
      <c r="L368" s="6" cm="1">
        <f t="array" ref="L368">_xlfn.PERCENTILE.INC(_xlfn._xlws.FILTER(tabla_base[Rendimiento_por_hectarea_ton], tabla_base[tipo_cultivo]=tabla_base[[#This Row],[tipo_cultivo]]), 0.75)</f>
        <v>5.2079399999999998</v>
      </c>
      <c r="M368" s="7" t="str">
        <f>IF(tabla_base[[#This Row],[Rendimiento_por_hectarea_ton]]&gt;tabla_base[[#This Row],[percentil_0,75]],"Sí","No")</f>
        <v>No</v>
      </c>
      <c r="N368" s="3">
        <v>0.86</v>
      </c>
      <c r="O368" t="s">
        <v>19</v>
      </c>
    </row>
    <row r="369" spans="1:15" x14ac:dyDescent="0.35">
      <c r="A369" t="s">
        <v>401</v>
      </c>
      <c r="B369" s="1" t="s">
        <v>22</v>
      </c>
      <c r="C369" s="1" t="s">
        <v>23</v>
      </c>
      <c r="D369" s="1" t="s">
        <v>33</v>
      </c>
      <c r="E369" s="2">
        <v>14.15</v>
      </c>
      <c r="F369" s="3">
        <v>6.93</v>
      </c>
      <c r="G369" s="3">
        <v>18.809999999999999</v>
      </c>
      <c r="H369" s="4">
        <v>265.48</v>
      </c>
      <c r="I369" s="3">
        <v>79.11</v>
      </c>
      <c r="J369" t="s">
        <v>19</v>
      </c>
      <c r="K369" s="5">
        <v>5.9808300000000001</v>
      </c>
      <c r="L369" s="6" cm="1">
        <f t="array" ref="L369">_xlfn.PERCENTILE.INC(_xlfn._xlws.FILTER(tabla_base[Rendimiento_por_hectarea_ton], tabla_base[tipo_cultivo]=tabla_base[[#This Row],[tipo_cultivo]]), 0.75)</f>
        <v>5.1635450000000001</v>
      </c>
      <c r="M369" s="7" t="str">
        <f>IF(tabla_base[[#This Row],[Rendimiento_por_hectarea_ton]]&gt;tabla_base[[#This Row],[percentil_0,75]],"Sí","No")</f>
        <v>Sí</v>
      </c>
      <c r="N369" s="3">
        <v>0.55000000000000004</v>
      </c>
      <c r="O369" t="s">
        <v>26</v>
      </c>
    </row>
    <row r="370" spans="1:15" x14ac:dyDescent="0.35">
      <c r="A370" t="s">
        <v>402</v>
      </c>
      <c r="B370" s="1" t="s">
        <v>16</v>
      </c>
      <c r="C370" s="1" t="s">
        <v>17</v>
      </c>
      <c r="D370" s="1" t="s">
        <v>31</v>
      </c>
      <c r="E370" s="2">
        <v>44.16</v>
      </c>
      <c r="F370" s="3">
        <v>5.97</v>
      </c>
      <c r="G370" s="3">
        <v>24.02</v>
      </c>
      <c r="H370" s="4">
        <v>112.08</v>
      </c>
      <c r="I370" s="3">
        <v>69.150000000000006</v>
      </c>
      <c r="J370" t="s">
        <v>28</v>
      </c>
      <c r="K370" s="5">
        <v>4.7474099999999995</v>
      </c>
      <c r="L370" s="6" cm="1">
        <f t="array" ref="L370">_xlfn.PERCENTILE.INC(_xlfn._xlws.FILTER(tabla_base[Rendimiento_por_hectarea_ton], tabla_base[tipo_cultivo]=tabla_base[[#This Row],[tipo_cultivo]]), 0.75)</f>
        <v>5.1742550000000005</v>
      </c>
      <c r="M370" s="7" t="str">
        <f>IF(tabla_base[[#This Row],[Rendimiento_por_hectarea_ton]]&gt;tabla_base[[#This Row],[percentil_0,75]],"Sí","No")</f>
        <v>No</v>
      </c>
      <c r="N370" s="3">
        <v>0.85</v>
      </c>
      <c r="O370" t="s">
        <v>44</v>
      </c>
    </row>
    <row r="371" spans="1:15" x14ac:dyDescent="0.35">
      <c r="A371" t="s">
        <v>403</v>
      </c>
      <c r="B371" s="1" t="s">
        <v>16</v>
      </c>
      <c r="C371" s="1" t="s">
        <v>17</v>
      </c>
      <c r="D371" s="1" t="s">
        <v>24</v>
      </c>
      <c r="E371" s="2">
        <v>12.06</v>
      </c>
      <c r="F371" s="3">
        <v>6.17</v>
      </c>
      <c r="G371" s="3">
        <v>19.7</v>
      </c>
      <c r="H371" s="4">
        <v>277.06</v>
      </c>
      <c r="I371" s="3">
        <v>89.84</v>
      </c>
      <c r="J371" t="s">
        <v>28</v>
      </c>
      <c r="K371" s="5">
        <v>5.9101000000000008</v>
      </c>
      <c r="L371" s="6" cm="1">
        <f t="array" ref="L371">_xlfn.PERCENTILE.INC(_xlfn._xlws.FILTER(tabla_base[Rendimiento_por_hectarea_ton], tabla_base[tipo_cultivo]=tabla_base[[#This Row],[tipo_cultivo]]), 0.75)</f>
        <v>5.3984449999999997</v>
      </c>
      <c r="M371" s="7" t="str">
        <f>IF(tabla_base[[#This Row],[Rendimiento_por_hectarea_ton]]&gt;tabla_base[[#This Row],[percentil_0,75]],"Sí","No")</f>
        <v>Sí</v>
      </c>
      <c r="N371" s="3">
        <v>0.87</v>
      </c>
      <c r="O371" t="s">
        <v>44</v>
      </c>
    </row>
    <row r="372" spans="1:15" x14ac:dyDescent="0.35">
      <c r="A372" t="s">
        <v>404</v>
      </c>
      <c r="B372" s="1" t="s">
        <v>22</v>
      </c>
      <c r="C372" s="1" t="s">
        <v>30</v>
      </c>
      <c r="D372" s="1" t="s">
        <v>35</v>
      </c>
      <c r="E372" s="2">
        <v>27.63</v>
      </c>
      <c r="F372" s="3">
        <v>7.36</v>
      </c>
      <c r="G372" s="3">
        <v>32.56</v>
      </c>
      <c r="H372" s="4">
        <v>82.98</v>
      </c>
      <c r="I372" s="3">
        <v>55.87</v>
      </c>
      <c r="J372" t="s">
        <v>25</v>
      </c>
      <c r="K372" s="5">
        <v>5.48672</v>
      </c>
      <c r="L372" s="6" cm="1">
        <f t="array" ref="L372">_xlfn.PERCENTILE.INC(_xlfn._xlws.FILTER(tabla_base[Rendimiento_por_hectarea_ton], tabla_base[tipo_cultivo]=tabla_base[[#This Row],[tipo_cultivo]]), 0.75)</f>
        <v>5.1318025</v>
      </c>
      <c r="M372" s="7" t="str">
        <f>IF(tabla_base[[#This Row],[Rendimiento_por_hectarea_ton]]&gt;tabla_base[[#This Row],[percentil_0,75]],"Sí","No")</f>
        <v>Sí</v>
      </c>
      <c r="N372" s="3">
        <v>0.63</v>
      </c>
      <c r="O372" t="s">
        <v>19</v>
      </c>
    </row>
    <row r="373" spans="1:15" x14ac:dyDescent="0.35">
      <c r="A373" t="s">
        <v>405</v>
      </c>
      <c r="B373" s="1" t="s">
        <v>39</v>
      </c>
      <c r="C373" s="1" t="s">
        <v>40</v>
      </c>
      <c r="D373" s="1" t="s">
        <v>31</v>
      </c>
      <c r="E373" s="2">
        <v>28.09</v>
      </c>
      <c r="F373" s="3">
        <v>6.37</v>
      </c>
      <c r="G373" s="3">
        <v>18.3</v>
      </c>
      <c r="H373" s="4">
        <v>234.22</v>
      </c>
      <c r="I373" s="3">
        <v>64.56</v>
      </c>
      <c r="J373" t="s">
        <v>19</v>
      </c>
      <c r="K373" s="5">
        <v>2.1434499999999996</v>
      </c>
      <c r="L373" s="6" cm="1">
        <f t="array" ref="L373">_xlfn.PERCENTILE.INC(_xlfn._xlws.FILTER(tabla_base[Rendimiento_por_hectarea_ton], tabla_base[tipo_cultivo]=tabla_base[[#This Row],[tipo_cultivo]]), 0.75)</f>
        <v>5.1742550000000005</v>
      </c>
      <c r="M373" s="7" t="str">
        <f>IF(tabla_base[[#This Row],[Rendimiento_por_hectarea_ton]]&gt;tabla_base[[#This Row],[percentil_0,75]],"Sí","No")</f>
        <v>No</v>
      </c>
      <c r="N373" s="3">
        <v>0.77</v>
      </c>
      <c r="O373" t="s">
        <v>44</v>
      </c>
    </row>
    <row r="374" spans="1:15" x14ac:dyDescent="0.35">
      <c r="A374" t="s">
        <v>406</v>
      </c>
      <c r="B374" s="1" t="s">
        <v>16</v>
      </c>
      <c r="C374" s="1" t="s">
        <v>17</v>
      </c>
      <c r="D374" s="1" t="s">
        <v>33</v>
      </c>
      <c r="E374" s="2">
        <v>22.48</v>
      </c>
      <c r="F374" s="3">
        <v>6.92</v>
      </c>
      <c r="G374" s="3">
        <v>24.7</v>
      </c>
      <c r="H374" s="4">
        <v>173.25</v>
      </c>
      <c r="I374" s="3">
        <v>82.29</v>
      </c>
      <c r="J374" t="s">
        <v>28</v>
      </c>
      <c r="K374" s="5">
        <v>2.6731799999999999</v>
      </c>
      <c r="L374" s="6" cm="1">
        <f t="array" ref="L374">_xlfn.PERCENTILE.INC(_xlfn._xlws.FILTER(tabla_base[Rendimiento_por_hectarea_ton], tabla_base[tipo_cultivo]=tabla_base[[#This Row],[tipo_cultivo]]), 0.75)</f>
        <v>5.1635450000000001</v>
      </c>
      <c r="M374" s="7" t="str">
        <f>IF(tabla_base[[#This Row],[Rendimiento_por_hectarea_ton]]&gt;tabla_base[[#This Row],[percentil_0,75]],"Sí","No")</f>
        <v>No</v>
      </c>
      <c r="N374" s="3">
        <v>0.72</v>
      </c>
      <c r="O374" t="s">
        <v>20</v>
      </c>
    </row>
    <row r="375" spans="1:15" x14ac:dyDescent="0.35">
      <c r="A375" t="s">
        <v>407</v>
      </c>
      <c r="B375" s="1" t="s">
        <v>39</v>
      </c>
      <c r="C375" s="1" t="s">
        <v>40</v>
      </c>
      <c r="D375" s="1" t="s">
        <v>18</v>
      </c>
      <c r="E375" s="2">
        <v>28.41</v>
      </c>
      <c r="F375" s="3">
        <v>6.64</v>
      </c>
      <c r="G375" s="3">
        <v>23.33</v>
      </c>
      <c r="H375" s="4">
        <v>69.209999999999994</v>
      </c>
      <c r="I375" s="3">
        <v>78.41</v>
      </c>
      <c r="J375" t="s">
        <v>37</v>
      </c>
      <c r="K375" s="5">
        <v>3.4942299999999999</v>
      </c>
      <c r="L375" s="6" cm="1">
        <f t="array" ref="L375">_xlfn.PERCENTILE.INC(_xlfn._xlws.FILTER(tabla_base[Rendimiento_por_hectarea_ton], tabla_base[tipo_cultivo]=tabla_base[[#This Row],[tipo_cultivo]]), 0.75)</f>
        <v>5.2079399999999998</v>
      </c>
      <c r="M375" s="7" t="str">
        <f>IF(tabla_base[[#This Row],[Rendimiento_por_hectarea_ton]]&gt;tabla_base[[#This Row],[percentil_0,75]],"Sí","No")</f>
        <v>No</v>
      </c>
      <c r="N375" s="3">
        <v>0.62</v>
      </c>
      <c r="O375" t="s">
        <v>44</v>
      </c>
    </row>
    <row r="376" spans="1:15" x14ac:dyDescent="0.35">
      <c r="A376" t="s">
        <v>408</v>
      </c>
      <c r="B376" s="1" t="s">
        <v>22</v>
      </c>
      <c r="C376" s="1" t="s">
        <v>23</v>
      </c>
      <c r="D376" s="1" t="s">
        <v>31</v>
      </c>
      <c r="E376" s="2">
        <v>30.8</v>
      </c>
      <c r="F376" s="3">
        <v>5.51</v>
      </c>
      <c r="G376" s="3">
        <v>34.4</v>
      </c>
      <c r="H376" s="4">
        <v>214.04</v>
      </c>
      <c r="I376" s="3">
        <v>87.54</v>
      </c>
      <c r="J376" t="s">
        <v>25</v>
      </c>
      <c r="K376" s="5">
        <v>5.19259</v>
      </c>
      <c r="L376" s="6" cm="1">
        <f t="array" ref="L376">_xlfn.PERCENTILE.INC(_xlfn._xlws.FILTER(tabla_base[Rendimiento_por_hectarea_ton], tabla_base[tipo_cultivo]=tabla_base[[#This Row],[tipo_cultivo]]), 0.75)</f>
        <v>5.1742550000000005</v>
      </c>
      <c r="M376" s="7" t="str">
        <f>IF(tabla_base[[#This Row],[Rendimiento_por_hectarea_ton]]&gt;tabla_base[[#This Row],[percentil_0,75]],"Sí","No")</f>
        <v>Sí</v>
      </c>
      <c r="N376" s="3">
        <v>0.83</v>
      </c>
      <c r="O376" t="s">
        <v>26</v>
      </c>
    </row>
    <row r="377" spans="1:15" x14ac:dyDescent="0.35">
      <c r="A377" t="s">
        <v>409</v>
      </c>
      <c r="B377" s="1" t="s">
        <v>22</v>
      </c>
      <c r="C377" s="1" t="s">
        <v>30</v>
      </c>
      <c r="D377" s="1" t="s">
        <v>35</v>
      </c>
      <c r="E377" s="2">
        <v>18.399999999999999</v>
      </c>
      <c r="F377" s="3">
        <v>7.04</v>
      </c>
      <c r="G377" s="3">
        <v>22.98</v>
      </c>
      <c r="H377" s="4">
        <v>55.13</v>
      </c>
      <c r="I377" s="3">
        <v>50.41</v>
      </c>
      <c r="J377" t="s">
        <v>19</v>
      </c>
      <c r="K377" s="5">
        <v>3.1941899999999999</v>
      </c>
      <c r="L377" s="6" cm="1">
        <f t="array" ref="L377">_xlfn.PERCENTILE.INC(_xlfn._xlws.FILTER(tabla_base[Rendimiento_por_hectarea_ton], tabla_base[tipo_cultivo]=tabla_base[[#This Row],[tipo_cultivo]]), 0.75)</f>
        <v>5.1318025</v>
      </c>
      <c r="M377" s="7" t="str">
        <f>IF(tabla_base[[#This Row],[Rendimiento_por_hectarea_ton]]&gt;tabla_base[[#This Row],[percentil_0,75]],"Sí","No")</f>
        <v>No</v>
      </c>
      <c r="N377" s="3">
        <v>0.61</v>
      </c>
      <c r="O377" t="s">
        <v>20</v>
      </c>
    </row>
    <row r="378" spans="1:15" x14ac:dyDescent="0.35">
      <c r="A378" t="s">
        <v>410</v>
      </c>
      <c r="B378" s="1" t="s">
        <v>22</v>
      </c>
      <c r="C378" s="1" t="s">
        <v>30</v>
      </c>
      <c r="D378" s="1" t="s">
        <v>18</v>
      </c>
      <c r="E378" s="2">
        <v>39.119999999999997</v>
      </c>
      <c r="F378" s="3">
        <v>6.53</v>
      </c>
      <c r="G378" s="3">
        <v>24.79</v>
      </c>
      <c r="H378" s="4">
        <v>271.35000000000002</v>
      </c>
      <c r="I378" s="3">
        <v>63.82</v>
      </c>
      <c r="J378" t="s">
        <v>19</v>
      </c>
      <c r="K378" s="5">
        <v>3.7364199999999999</v>
      </c>
      <c r="L378" s="6" cm="1">
        <f t="array" ref="L378">_xlfn.PERCENTILE.INC(_xlfn._xlws.FILTER(tabla_base[Rendimiento_por_hectarea_ton], tabla_base[tipo_cultivo]=tabla_base[[#This Row],[tipo_cultivo]]), 0.75)</f>
        <v>5.2079399999999998</v>
      </c>
      <c r="M378" s="7" t="str">
        <f>IF(tabla_base[[#This Row],[Rendimiento_por_hectarea_ton]]&gt;tabla_base[[#This Row],[percentil_0,75]],"Sí","No")</f>
        <v>No</v>
      </c>
      <c r="N378" s="3">
        <v>0.71</v>
      </c>
      <c r="O378" t="s">
        <v>19</v>
      </c>
    </row>
    <row r="379" spans="1:15" x14ac:dyDescent="0.35">
      <c r="A379" t="s">
        <v>411</v>
      </c>
      <c r="B379" s="1" t="s">
        <v>16</v>
      </c>
      <c r="C379" s="1" t="s">
        <v>23</v>
      </c>
      <c r="D379" s="1" t="s">
        <v>33</v>
      </c>
      <c r="E379" s="2">
        <v>28.45</v>
      </c>
      <c r="F379" s="3">
        <v>6.79</v>
      </c>
      <c r="G379" s="3">
        <v>16.68</v>
      </c>
      <c r="H379" s="4">
        <v>167.05</v>
      </c>
      <c r="I379" s="3">
        <v>43.96</v>
      </c>
      <c r="J379" t="s">
        <v>37</v>
      </c>
      <c r="K379" s="5">
        <v>2.9946100000000002</v>
      </c>
      <c r="L379" s="6" cm="1">
        <f t="array" ref="L379">_xlfn.PERCENTILE.INC(_xlfn._xlws.FILTER(tabla_base[Rendimiento_por_hectarea_ton], tabla_base[tipo_cultivo]=tabla_base[[#This Row],[tipo_cultivo]]), 0.75)</f>
        <v>5.1635450000000001</v>
      </c>
      <c r="M379" s="7" t="str">
        <f>IF(tabla_base[[#This Row],[Rendimiento_por_hectarea_ton]]&gt;tabla_base[[#This Row],[percentil_0,75]],"Sí","No")</f>
        <v>No</v>
      </c>
      <c r="N379" s="3">
        <v>0.78</v>
      </c>
      <c r="O379" t="s">
        <v>19</v>
      </c>
    </row>
    <row r="380" spans="1:15" x14ac:dyDescent="0.35">
      <c r="A380" t="s">
        <v>412</v>
      </c>
      <c r="B380" s="1" t="s">
        <v>39</v>
      </c>
      <c r="C380" s="1" t="s">
        <v>40</v>
      </c>
      <c r="D380" s="1" t="s">
        <v>18</v>
      </c>
      <c r="E380" s="2">
        <v>27.87</v>
      </c>
      <c r="F380" s="3">
        <v>6.33</v>
      </c>
      <c r="G380" s="3">
        <v>24.29</v>
      </c>
      <c r="H380" s="4">
        <v>230.08</v>
      </c>
      <c r="I380" s="3">
        <v>80.64</v>
      </c>
      <c r="J380" t="s">
        <v>28</v>
      </c>
      <c r="K380" s="5">
        <v>2.71821</v>
      </c>
      <c r="L380" s="6" cm="1">
        <f t="array" ref="L380">_xlfn.PERCENTILE.INC(_xlfn._xlws.FILTER(tabla_base[Rendimiento_por_hectarea_ton], tabla_base[tipo_cultivo]=tabla_base[[#This Row],[tipo_cultivo]]), 0.75)</f>
        <v>5.2079399999999998</v>
      </c>
      <c r="M380" s="7" t="str">
        <f>IF(tabla_base[[#This Row],[Rendimiento_por_hectarea_ton]]&gt;tabla_base[[#This Row],[percentil_0,75]],"Sí","No")</f>
        <v>No</v>
      </c>
      <c r="N380" s="3">
        <v>0.51</v>
      </c>
      <c r="O380" t="s">
        <v>26</v>
      </c>
    </row>
    <row r="381" spans="1:15" x14ac:dyDescent="0.35">
      <c r="A381" t="s">
        <v>413</v>
      </c>
      <c r="B381" s="1" t="s">
        <v>22</v>
      </c>
      <c r="C381" s="1" t="s">
        <v>30</v>
      </c>
      <c r="D381" s="1" t="s">
        <v>24</v>
      </c>
      <c r="E381" s="2">
        <v>35.340000000000003</v>
      </c>
      <c r="F381" s="3">
        <v>7.01</v>
      </c>
      <c r="G381" s="3">
        <v>24</v>
      </c>
      <c r="H381" s="4">
        <v>251.96</v>
      </c>
      <c r="I381" s="3">
        <v>57.07</v>
      </c>
      <c r="J381" t="s">
        <v>25</v>
      </c>
      <c r="K381" s="5">
        <v>5.4864600000000001</v>
      </c>
      <c r="L381" s="6" cm="1">
        <f t="array" ref="L381">_xlfn.PERCENTILE.INC(_xlfn._xlws.FILTER(tabla_base[Rendimiento_por_hectarea_ton], tabla_base[tipo_cultivo]=tabla_base[[#This Row],[tipo_cultivo]]), 0.75)</f>
        <v>5.3984449999999997</v>
      </c>
      <c r="M381" s="7" t="str">
        <f>IF(tabla_base[[#This Row],[Rendimiento_por_hectarea_ton]]&gt;tabla_base[[#This Row],[percentil_0,75]],"Sí","No")</f>
        <v>Sí</v>
      </c>
      <c r="N381" s="3">
        <v>0.38</v>
      </c>
      <c r="O381" t="s">
        <v>20</v>
      </c>
    </row>
    <row r="382" spans="1:15" x14ac:dyDescent="0.35">
      <c r="A382" t="s">
        <v>414</v>
      </c>
      <c r="B382" s="1" t="s">
        <v>16</v>
      </c>
      <c r="C382" s="1" t="s">
        <v>23</v>
      </c>
      <c r="D382" s="1" t="s">
        <v>33</v>
      </c>
      <c r="E382" s="2">
        <v>26.11</v>
      </c>
      <c r="F382" s="3">
        <v>6.31</v>
      </c>
      <c r="G382" s="3">
        <v>28.15</v>
      </c>
      <c r="H382" s="4">
        <v>236.06</v>
      </c>
      <c r="I382" s="3">
        <v>76.3</v>
      </c>
      <c r="J382" t="s">
        <v>37</v>
      </c>
      <c r="K382" s="5">
        <v>5.2185600000000001</v>
      </c>
      <c r="L382" s="6" cm="1">
        <f t="array" ref="L382">_xlfn.PERCENTILE.INC(_xlfn._xlws.FILTER(tabla_base[Rendimiento_por_hectarea_ton], tabla_base[tipo_cultivo]=tabla_base[[#This Row],[tipo_cultivo]]), 0.75)</f>
        <v>5.1635450000000001</v>
      </c>
      <c r="M382" s="7" t="str">
        <f>IF(tabla_base[[#This Row],[Rendimiento_por_hectarea_ton]]&gt;tabla_base[[#This Row],[percentil_0,75]],"Sí","No")</f>
        <v>Sí</v>
      </c>
      <c r="N382" s="3">
        <v>0.72</v>
      </c>
      <c r="O382" t="s">
        <v>19</v>
      </c>
    </row>
    <row r="383" spans="1:15" x14ac:dyDescent="0.35">
      <c r="A383" t="s">
        <v>415</v>
      </c>
      <c r="B383" s="1" t="s">
        <v>16</v>
      </c>
      <c r="C383" s="1" t="s">
        <v>23</v>
      </c>
      <c r="D383" s="1" t="s">
        <v>18</v>
      </c>
      <c r="E383" s="2">
        <v>17.32</v>
      </c>
      <c r="F383" s="3">
        <v>6.8</v>
      </c>
      <c r="G383" s="3">
        <v>27.99</v>
      </c>
      <c r="H383" s="4">
        <v>158.94999999999999</v>
      </c>
      <c r="I383" s="3">
        <v>71.3</v>
      </c>
      <c r="J383" t="s">
        <v>25</v>
      </c>
      <c r="K383" s="5">
        <v>3.6875200000000001</v>
      </c>
      <c r="L383" s="6" cm="1">
        <f t="array" ref="L383">_xlfn.PERCENTILE.INC(_xlfn._xlws.FILTER(tabla_base[Rendimiento_por_hectarea_ton], tabla_base[tipo_cultivo]=tabla_base[[#This Row],[tipo_cultivo]]), 0.75)</f>
        <v>5.2079399999999998</v>
      </c>
      <c r="M383" s="7" t="str">
        <f>IF(tabla_base[[#This Row],[Rendimiento_por_hectarea_ton]]&gt;tabla_base[[#This Row],[percentil_0,75]],"Sí","No")</f>
        <v>No</v>
      </c>
      <c r="N383" s="3">
        <v>0.59</v>
      </c>
      <c r="O383" t="s">
        <v>26</v>
      </c>
    </row>
    <row r="384" spans="1:15" x14ac:dyDescent="0.35">
      <c r="A384" t="s">
        <v>416</v>
      </c>
      <c r="B384" s="1" t="s">
        <v>22</v>
      </c>
      <c r="C384" s="1" t="s">
        <v>23</v>
      </c>
      <c r="D384" s="1" t="s">
        <v>18</v>
      </c>
      <c r="E384" s="2">
        <v>40.090000000000003</v>
      </c>
      <c r="F384" s="3">
        <v>6.67</v>
      </c>
      <c r="G384" s="3">
        <v>19.03</v>
      </c>
      <c r="H384" s="4">
        <v>192.36</v>
      </c>
      <c r="I384" s="3">
        <v>81.69</v>
      </c>
      <c r="J384" t="s">
        <v>28</v>
      </c>
      <c r="K384" s="5">
        <v>5.3944700000000001</v>
      </c>
      <c r="L384" s="6" cm="1">
        <f t="array" ref="L384">_xlfn.PERCENTILE.INC(_xlfn._xlws.FILTER(tabla_base[Rendimiento_por_hectarea_ton], tabla_base[tipo_cultivo]=tabla_base[[#This Row],[tipo_cultivo]]), 0.75)</f>
        <v>5.2079399999999998</v>
      </c>
      <c r="M384" s="7" t="str">
        <f>IF(tabla_base[[#This Row],[Rendimiento_por_hectarea_ton]]&gt;tabla_base[[#This Row],[percentil_0,75]],"Sí","No")</f>
        <v>Sí</v>
      </c>
      <c r="N384" s="3">
        <v>0.86</v>
      </c>
      <c r="O384" t="s">
        <v>44</v>
      </c>
    </row>
    <row r="385" spans="1:15" x14ac:dyDescent="0.35">
      <c r="A385" t="s">
        <v>417</v>
      </c>
      <c r="B385" s="1" t="s">
        <v>22</v>
      </c>
      <c r="C385" s="1" t="s">
        <v>23</v>
      </c>
      <c r="D385" s="1" t="s">
        <v>33</v>
      </c>
      <c r="E385" s="2">
        <v>27.01</v>
      </c>
      <c r="F385" s="3">
        <v>6.68</v>
      </c>
      <c r="G385" s="3">
        <v>27.23</v>
      </c>
      <c r="H385" s="4">
        <v>219.67</v>
      </c>
      <c r="I385" s="3">
        <v>80.83</v>
      </c>
      <c r="J385" t="s">
        <v>28</v>
      </c>
      <c r="K385" s="5">
        <v>2.2540399999999998</v>
      </c>
      <c r="L385" s="6" cm="1">
        <f t="array" ref="L385">_xlfn.PERCENTILE.INC(_xlfn._xlws.FILTER(tabla_base[Rendimiento_por_hectarea_ton], tabla_base[tipo_cultivo]=tabla_base[[#This Row],[tipo_cultivo]]), 0.75)</f>
        <v>5.1635450000000001</v>
      </c>
      <c r="M385" s="7" t="str">
        <f>IF(tabla_base[[#This Row],[Rendimiento_por_hectarea_ton]]&gt;tabla_base[[#This Row],[percentil_0,75]],"Sí","No")</f>
        <v>No</v>
      </c>
      <c r="N385" s="3">
        <v>0.66</v>
      </c>
      <c r="O385" t="s">
        <v>19</v>
      </c>
    </row>
    <row r="386" spans="1:15" x14ac:dyDescent="0.35">
      <c r="A386" t="s">
        <v>418</v>
      </c>
      <c r="B386" s="1" t="s">
        <v>22</v>
      </c>
      <c r="C386" s="1" t="s">
        <v>23</v>
      </c>
      <c r="D386" s="1" t="s">
        <v>33</v>
      </c>
      <c r="E386" s="2">
        <v>10.73</v>
      </c>
      <c r="F386" s="3">
        <v>6.08</v>
      </c>
      <c r="G386" s="3">
        <v>18.84</v>
      </c>
      <c r="H386" s="4">
        <v>135.96</v>
      </c>
      <c r="I386" s="3">
        <v>51.61</v>
      </c>
      <c r="J386" t="s">
        <v>37</v>
      </c>
      <c r="K386" s="5">
        <v>2.5246300000000002</v>
      </c>
      <c r="L386" s="6" cm="1">
        <f t="array" ref="L386">_xlfn.PERCENTILE.INC(_xlfn._xlws.FILTER(tabla_base[Rendimiento_por_hectarea_ton], tabla_base[tipo_cultivo]=tabla_base[[#This Row],[tipo_cultivo]]), 0.75)</f>
        <v>5.1635450000000001</v>
      </c>
      <c r="M386" s="7" t="str">
        <f>IF(tabla_base[[#This Row],[Rendimiento_por_hectarea_ton]]&gt;tabla_base[[#This Row],[percentil_0,75]],"Sí","No")</f>
        <v>No</v>
      </c>
      <c r="N386" s="3">
        <v>0.83</v>
      </c>
      <c r="O386" t="s">
        <v>20</v>
      </c>
    </row>
    <row r="387" spans="1:15" x14ac:dyDescent="0.35">
      <c r="A387" t="s">
        <v>419</v>
      </c>
      <c r="B387" s="1" t="s">
        <v>22</v>
      </c>
      <c r="C387" s="1" t="s">
        <v>23</v>
      </c>
      <c r="D387" s="1" t="s">
        <v>35</v>
      </c>
      <c r="E387" s="2">
        <v>31.76</v>
      </c>
      <c r="F387" s="3">
        <v>6.06</v>
      </c>
      <c r="G387" s="3">
        <v>29.99</v>
      </c>
      <c r="H387" s="4">
        <v>216.76</v>
      </c>
      <c r="I387" s="3">
        <v>46.45</v>
      </c>
      <c r="J387" t="s">
        <v>19</v>
      </c>
      <c r="K387" s="5">
        <v>2.8377300000000001</v>
      </c>
      <c r="L387" s="6" cm="1">
        <f t="array" ref="L387">_xlfn.PERCENTILE.INC(_xlfn._xlws.FILTER(tabla_base[Rendimiento_por_hectarea_ton], tabla_base[tipo_cultivo]=tabla_base[[#This Row],[tipo_cultivo]]), 0.75)</f>
        <v>5.1318025</v>
      </c>
      <c r="M387" s="7" t="str">
        <f>IF(tabla_base[[#This Row],[Rendimiento_por_hectarea_ton]]&gt;tabla_base[[#This Row],[percentil_0,75]],"Sí","No")</f>
        <v>No</v>
      </c>
      <c r="N387" s="3">
        <v>0.44</v>
      </c>
      <c r="O387" t="s">
        <v>44</v>
      </c>
    </row>
    <row r="388" spans="1:15" x14ac:dyDescent="0.35">
      <c r="A388" t="s">
        <v>420</v>
      </c>
      <c r="B388" s="1" t="s">
        <v>16</v>
      </c>
      <c r="C388" s="1" t="s">
        <v>23</v>
      </c>
      <c r="D388" s="1" t="s">
        <v>24</v>
      </c>
      <c r="E388" s="2">
        <v>11.12</v>
      </c>
      <c r="F388" s="3">
        <v>5.63</v>
      </c>
      <c r="G388" s="3">
        <v>23.61</v>
      </c>
      <c r="H388" s="4">
        <v>204.39</v>
      </c>
      <c r="I388" s="3">
        <v>46.03</v>
      </c>
      <c r="J388" t="s">
        <v>37</v>
      </c>
      <c r="K388" s="5">
        <v>4.2280899999999999</v>
      </c>
      <c r="L388" s="6" cm="1">
        <f t="array" ref="L388">_xlfn.PERCENTILE.INC(_xlfn._xlws.FILTER(tabla_base[Rendimiento_por_hectarea_ton], tabla_base[tipo_cultivo]=tabla_base[[#This Row],[tipo_cultivo]]), 0.75)</f>
        <v>5.3984449999999997</v>
      </c>
      <c r="M388" s="7" t="str">
        <f>IF(tabla_base[[#This Row],[Rendimiento_por_hectarea_ton]]&gt;tabla_base[[#This Row],[percentil_0,75]],"Sí","No")</f>
        <v>No</v>
      </c>
      <c r="N388" s="3">
        <v>0.33</v>
      </c>
      <c r="O388" t="s">
        <v>44</v>
      </c>
    </row>
    <row r="389" spans="1:15" x14ac:dyDescent="0.35">
      <c r="A389" t="s">
        <v>421</v>
      </c>
      <c r="B389" s="1" t="s">
        <v>16</v>
      </c>
      <c r="C389" s="1" t="s">
        <v>17</v>
      </c>
      <c r="D389" s="1" t="s">
        <v>33</v>
      </c>
      <c r="E389" s="2">
        <v>37.96</v>
      </c>
      <c r="F389" s="3">
        <v>7.43</v>
      </c>
      <c r="G389" s="3">
        <v>30.12</v>
      </c>
      <c r="H389" s="4">
        <v>293.66000000000003</v>
      </c>
      <c r="I389" s="3">
        <v>79.08</v>
      </c>
      <c r="J389" t="s">
        <v>28</v>
      </c>
      <c r="K389" s="5">
        <v>2.4722399999999998</v>
      </c>
      <c r="L389" s="6" cm="1">
        <f t="array" ref="L389">_xlfn.PERCENTILE.INC(_xlfn._xlws.FILTER(tabla_base[Rendimiento_por_hectarea_ton], tabla_base[tipo_cultivo]=tabla_base[[#This Row],[tipo_cultivo]]), 0.75)</f>
        <v>5.1635450000000001</v>
      </c>
      <c r="M389" s="7" t="str">
        <f>IF(tabla_base[[#This Row],[Rendimiento_por_hectarea_ton]]&gt;tabla_base[[#This Row],[percentil_0,75]],"Sí","No")</f>
        <v>No</v>
      </c>
      <c r="N389" s="3">
        <v>0.83</v>
      </c>
      <c r="O389" t="s">
        <v>19</v>
      </c>
    </row>
    <row r="390" spans="1:15" x14ac:dyDescent="0.35">
      <c r="A390" t="s">
        <v>422</v>
      </c>
      <c r="B390" s="1" t="s">
        <v>39</v>
      </c>
      <c r="C390" s="1" t="s">
        <v>40</v>
      </c>
      <c r="D390" s="1" t="s">
        <v>33</v>
      </c>
      <c r="E390" s="2">
        <v>35.64</v>
      </c>
      <c r="F390" s="3">
        <v>5.7</v>
      </c>
      <c r="G390" s="3">
        <v>27.94</v>
      </c>
      <c r="H390" s="4">
        <v>133.65</v>
      </c>
      <c r="I390" s="3">
        <v>46.89</v>
      </c>
      <c r="J390" t="s">
        <v>19</v>
      </c>
      <c r="K390" s="5">
        <v>5.23658</v>
      </c>
      <c r="L390" s="6" cm="1">
        <f t="array" ref="L390">_xlfn.PERCENTILE.INC(_xlfn._xlws.FILTER(tabla_base[Rendimiento_por_hectarea_ton], tabla_base[tipo_cultivo]=tabla_base[[#This Row],[tipo_cultivo]]), 0.75)</f>
        <v>5.1635450000000001</v>
      </c>
      <c r="M390" s="7" t="str">
        <f>IF(tabla_base[[#This Row],[Rendimiento_por_hectarea_ton]]&gt;tabla_base[[#This Row],[percentil_0,75]],"Sí","No")</f>
        <v>Sí</v>
      </c>
      <c r="N390" s="3">
        <v>0.34</v>
      </c>
      <c r="O390" t="s">
        <v>26</v>
      </c>
    </row>
    <row r="391" spans="1:15" x14ac:dyDescent="0.35">
      <c r="A391" t="s">
        <v>423</v>
      </c>
      <c r="B391" s="1" t="s">
        <v>22</v>
      </c>
      <c r="C391" s="1" t="s">
        <v>30</v>
      </c>
      <c r="D391" s="1" t="s">
        <v>35</v>
      </c>
      <c r="E391" s="2">
        <v>15.31</v>
      </c>
      <c r="F391" s="3">
        <v>7.01</v>
      </c>
      <c r="G391" s="3">
        <v>23.43</v>
      </c>
      <c r="H391" s="4">
        <v>107.05</v>
      </c>
      <c r="I391" s="3">
        <v>80.09</v>
      </c>
      <c r="J391" t="s">
        <v>19</v>
      </c>
      <c r="K391" s="5">
        <v>3.4470999999999998</v>
      </c>
      <c r="L391" s="6" cm="1">
        <f t="array" ref="L391">_xlfn.PERCENTILE.INC(_xlfn._xlws.FILTER(tabla_base[Rendimiento_por_hectarea_ton], tabla_base[tipo_cultivo]=tabla_base[[#This Row],[tipo_cultivo]]), 0.75)</f>
        <v>5.1318025</v>
      </c>
      <c r="M391" s="7" t="str">
        <f>IF(tabla_base[[#This Row],[Rendimiento_por_hectarea_ton]]&gt;tabla_base[[#This Row],[percentil_0,75]],"Sí","No")</f>
        <v>No</v>
      </c>
      <c r="N391" s="3">
        <v>0.56000000000000005</v>
      </c>
      <c r="O391" t="s">
        <v>19</v>
      </c>
    </row>
    <row r="392" spans="1:15" x14ac:dyDescent="0.35">
      <c r="A392" t="s">
        <v>424</v>
      </c>
      <c r="B392" s="1" t="s">
        <v>16</v>
      </c>
      <c r="C392" s="1" t="s">
        <v>17</v>
      </c>
      <c r="D392" s="1" t="s">
        <v>31</v>
      </c>
      <c r="E392" s="2">
        <v>21.02</v>
      </c>
      <c r="F392" s="3">
        <v>7.46</v>
      </c>
      <c r="G392" s="3">
        <v>18.29</v>
      </c>
      <c r="H392" s="4">
        <v>65.37</v>
      </c>
      <c r="I392" s="3">
        <v>77.959999999999994</v>
      </c>
      <c r="J392" t="s">
        <v>25</v>
      </c>
      <c r="K392" s="5">
        <v>4.6414499999999999</v>
      </c>
      <c r="L392" s="6" cm="1">
        <f t="array" ref="L392">_xlfn.PERCENTILE.INC(_xlfn._xlws.FILTER(tabla_base[Rendimiento_por_hectarea_ton], tabla_base[tipo_cultivo]=tabla_base[[#This Row],[tipo_cultivo]]), 0.75)</f>
        <v>5.1742550000000005</v>
      </c>
      <c r="M392" s="7" t="str">
        <f>IF(tabla_base[[#This Row],[Rendimiento_por_hectarea_ton]]&gt;tabla_base[[#This Row],[percentil_0,75]],"Sí","No")</f>
        <v>No</v>
      </c>
      <c r="N392" s="3">
        <v>0.35</v>
      </c>
      <c r="O392" t="s">
        <v>44</v>
      </c>
    </row>
    <row r="393" spans="1:15" x14ac:dyDescent="0.35">
      <c r="A393" t="s">
        <v>425</v>
      </c>
      <c r="B393" s="1" t="s">
        <v>22</v>
      </c>
      <c r="C393" s="1" t="s">
        <v>30</v>
      </c>
      <c r="D393" s="1" t="s">
        <v>31</v>
      </c>
      <c r="E393" s="2">
        <v>10.28</v>
      </c>
      <c r="F393" s="3">
        <v>6.06</v>
      </c>
      <c r="G393" s="3">
        <v>25.56</v>
      </c>
      <c r="H393" s="4">
        <v>280.11</v>
      </c>
      <c r="I393" s="3">
        <v>75.010000000000005</v>
      </c>
      <c r="J393" t="s">
        <v>25</v>
      </c>
      <c r="K393" s="5">
        <v>4.7898800000000001</v>
      </c>
      <c r="L393" s="6" cm="1">
        <f t="array" ref="L393">_xlfn.PERCENTILE.INC(_xlfn._xlws.FILTER(tabla_base[Rendimiento_por_hectarea_ton], tabla_base[tipo_cultivo]=tabla_base[[#This Row],[tipo_cultivo]]), 0.75)</f>
        <v>5.1742550000000005</v>
      </c>
      <c r="M393" s="7" t="str">
        <f>IF(tabla_base[[#This Row],[Rendimiento_por_hectarea_ton]]&gt;tabla_base[[#This Row],[percentil_0,75]],"Sí","No")</f>
        <v>No</v>
      </c>
      <c r="N393" s="3">
        <v>0.76</v>
      </c>
      <c r="O393" t="s">
        <v>19</v>
      </c>
    </row>
    <row r="394" spans="1:15" x14ac:dyDescent="0.35">
      <c r="A394" t="s">
        <v>426</v>
      </c>
      <c r="B394" s="1" t="s">
        <v>16</v>
      </c>
      <c r="C394" s="1" t="s">
        <v>17</v>
      </c>
      <c r="D394" s="1" t="s">
        <v>18</v>
      </c>
      <c r="E394" s="2">
        <v>28.81</v>
      </c>
      <c r="F394" s="3">
        <v>6.28</v>
      </c>
      <c r="G394" s="3">
        <v>29.38</v>
      </c>
      <c r="H394" s="4">
        <v>269.97000000000003</v>
      </c>
      <c r="I394" s="3">
        <v>66.02</v>
      </c>
      <c r="J394" t="s">
        <v>25</v>
      </c>
      <c r="K394" s="5">
        <v>5.0281899999999995</v>
      </c>
      <c r="L394" s="6" cm="1">
        <f t="array" ref="L394">_xlfn.PERCENTILE.INC(_xlfn._xlws.FILTER(tabla_base[Rendimiento_por_hectarea_ton], tabla_base[tipo_cultivo]=tabla_base[[#This Row],[tipo_cultivo]]), 0.75)</f>
        <v>5.2079399999999998</v>
      </c>
      <c r="M394" s="7" t="str">
        <f>IF(tabla_base[[#This Row],[Rendimiento_por_hectarea_ton]]&gt;tabla_base[[#This Row],[percentil_0,75]],"Sí","No")</f>
        <v>No</v>
      </c>
      <c r="N394" s="3">
        <v>0.88</v>
      </c>
      <c r="O394" t="s">
        <v>44</v>
      </c>
    </row>
    <row r="395" spans="1:15" x14ac:dyDescent="0.35">
      <c r="A395" t="s">
        <v>427</v>
      </c>
      <c r="B395" s="1" t="s">
        <v>16</v>
      </c>
      <c r="C395" s="1" t="s">
        <v>23</v>
      </c>
      <c r="D395" s="1" t="s">
        <v>31</v>
      </c>
      <c r="E395" s="2">
        <v>35.43</v>
      </c>
      <c r="F395" s="3">
        <v>7.47</v>
      </c>
      <c r="G395" s="3">
        <v>17.21</v>
      </c>
      <c r="H395" s="4">
        <v>64.989999999999995</v>
      </c>
      <c r="I395" s="3">
        <v>58.65</v>
      </c>
      <c r="J395" t="s">
        <v>37</v>
      </c>
      <c r="K395" s="5">
        <v>3.19184</v>
      </c>
      <c r="L395" s="6" cm="1">
        <f t="array" ref="L395">_xlfn.PERCENTILE.INC(_xlfn._xlws.FILTER(tabla_base[Rendimiento_por_hectarea_ton], tabla_base[tipo_cultivo]=tabla_base[[#This Row],[tipo_cultivo]]), 0.75)</f>
        <v>5.1742550000000005</v>
      </c>
      <c r="M395" s="7" t="str">
        <f>IF(tabla_base[[#This Row],[Rendimiento_por_hectarea_ton]]&gt;tabla_base[[#This Row],[percentil_0,75]],"Sí","No")</f>
        <v>No</v>
      </c>
      <c r="N395" s="3">
        <v>0.48</v>
      </c>
      <c r="O395" t="s">
        <v>20</v>
      </c>
    </row>
    <row r="396" spans="1:15" x14ac:dyDescent="0.35">
      <c r="A396" t="s">
        <v>428</v>
      </c>
      <c r="B396" s="1" t="s">
        <v>22</v>
      </c>
      <c r="C396" s="1" t="s">
        <v>30</v>
      </c>
      <c r="D396" s="1" t="s">
        <v>31</v>
      </c>
      <c r="E396" s="2">
        <v>19.96</v>
      </c>
      <c r="F396" s="3">
        <v>7.07</v>
      </c>
      <c r="G396" s="3">
        <v>29.3</v>
      </c>
      <c r="H396" s="4">
        <v>218.11</v>
      </c>
      <c r="I396" s="3">
        <v>75.72</v>
      </c>
      <c r="J396" t="s">
        <v>25</v>
      </c>
      <c r="K396" s="5">
        <v>5.1141999999999994</v>
      </c>
      <c r="L396" s="6" cm="1">
        <f t="array" ref="L396">_xlfn.PERCENTILE.INC(_xlfn._xlws.FILTER(tabla_base[Rendimiento_por_hectarea_ton], tabla_base[tipo_cultivo]=tabla_base[[#This Row],[tipo_cultivo]]), 0.75)</f>
        <v>5.1742550000000005</v>
      </c>
      <c r="M396" s="7" t="str">
        <f>IF(tabla_base[[#This Row],[Rendimiento_por_hectarea_ton]]&gt;tabla_base[[#This Row],[percentil_0,75]],"Sí","No")</f>
        <v>No</v>
      </c>
      <c r="N396" s="3">
        <v>0.47</v>
      </c>
      <c r="O396" t="s">
        <v>20</v>
      </c>
    </row>
    <row r="397" spans="1:15" x14ac:dyDescent="0.35">
      <c r="A397" t="s">
        <v>429</v>
      </c>
      <c r="B397" s="1" t="s">
        <v>16</v>
      </c>
      <c r="C397" s="1" t="s">
        <v>17</v>
      </c>
      <c r="D397" s="1" t="s">
        <v>18</v>
      </c>
      <c r="E397" s="2">
        <v>24.87</v>
      </c>
      <c r="F397" s="3">
        <v>5.76</v>
      </c>
      <c r="G397" s="3">
        <v>19.3</v>
      </c>
      <c r="H397" s="4">
        <v>69.52</v>
      </c>
      <c r="I397" s="3">
        <v>73.84</v>
      </c>
      <c r="J397" t="s">
        <v>19</v>
      </c>
      <c r="K397" s="5">
        <v>4.7560699999999994</v>
      </c>
      <c r="L397" s="6" cm="1">
        <f t="array" ref="L397">_xlfn.PERCENTILE.INC(_xlfn._xlws.FILTER(tabla_base[Rendimiento_por_hectarea_ton], tabla_base[tipo_cultivo]=tabla_base[[#This Row],[tipo_cultivo]]), 0.75)</f>
        <v>5.2079399999999998</v>
      </c>
      <c r="M397" s="7" t="str">
        <f>IF(tabla_base[[#This Row],[Rendimiento_por_hectarea_ton]]&gt;tabla_base[[#This Row],[percentil_0,75]],"Sí","No")</f>
        <v>No</v>
      </c>
      <c r="N397" s="3">
        <v>0.79</v>
      </c>
      <c r="O397" t="s">
        <v>44</v>
      </c>
    </row>
    <row r="398" spans="1:15" x14ac:dyDescent="0.35">
      <c r="A398" t="s">
        <v>430</v>
      </c>
      <c r="B398" s="1" t="s">
        <v>22</v>
      </c>
      <c r="C398" s="1" t="s">
        <v>23</v>
      </c>
      <c r="D398" s="1" t="s">
        <v>33</v>
      </c>
      <c r="E398" s="2">
        <v>14.53</v>
      </c>
      <c r="F398" s="3">
        <v>6.91</v>
      </c>
      <c r="G398" s="3">
        <v>32.270000000000003</v>
      </c>
      <c r="H398" s="4">
        <v>79.510000000000005</v>
      </c>
      <c r="I398" s="3">
        <v>50.63</v>
      </c>
      <c r="J398" t="s">
        <v>25</v>
      </c>
      <c r="K398" s="5">
        <v>3.6344799999999999</v>
      </c>
      <c r="L398" s="6" cm="1">
        <f t="array" ref="L398">_xlfn.PERCENTILE.INC(_xlfn._xlws.FILTER(tabla_base[Rendimiento_por_hectarea_ton], tabla_base[tipo_cultivo]=tabla_base[[#This Row],[tipo_cultivo]]), 0.75)</f>
        <v>5.1635450000000001</v>
      </c>
      <c r="M398" s="7" t="str">
        <f>IF(tabla_base[[#This Row],[Rendimiento_por_hectarea_ton]]&gt;tabla_base[[#This Row],[percentil_0,75]],"Sí","No")</f>
        <v>No</v>
      </c>
      <c r="N398" s="3">
        <v>0.61</v>
      </c>
      <c r="O398" t="s">
        <v>44</v>
      </c>
    </row>
    <row r="399" spans="1:15" x14ac:dyDescent="0.35">
      <c r="A399" t="s">
        <v>431</v>
      </c>
      <c r="B399" s="1" t="s">
        <v>22</v>
      </c>
      <c r="C399" s="1" t="s">
        <v>30</v>
      </c>
      <c r="D399" s="1" t="s">
        <v>31</v>
      </c>
      <c r="E399" s="2">
        <v>44.69</v>
      </c>
      <c r="F399" s="3">
        <v>6.11</v>
      </c>
      <c r="G399" s="3">
        <v>24.72</v>
      </c>
      <c r="H399" s="4">
        <v>247.8</v>
      </c>
      <c r="I399" s="3">
        <v>47.11</v>
      </c>
      <c r="J399" t="s">
        <v>28</v>
      </c>
      <c r="K399" s="5">
        <v>4.9586399999999999</v>
      </c>
      <c r="L399" s="6" cm="1">
        <f t="array" ref="L399">_xlfn.PERCENTILE.INC(_xlfn._xlws.FILTER(tabla_base[Rendimiento_por_hectarea_ton], tabla_base[tipo_cultivo]=tabla_base[[#This Row],[tipo_cultivo]]), 0.75)</f>
        <v>5.1742550000000005</v>
      </c>
      <c r="M399" s="7" t="str">
        <f>IF(tabla_base[[#This Row],[Rendimiento_por_hectarea_ton]]&gt;tabla_base[[#This Row],[percentil_0,75]],"Sí","No")</f>
        <v>No</v>
      </c>
      <c r="N399" s="3">
        <v>0.74</v>
      </c>
      <c r="O399" t="s">
        <v>20</v>
      </c>
    </row>
    <row r="400" spans="1:15" x14ac:dyDescent="0.35">
      <c r="A400" t="s">
        <v>432</v>
      </c>
      <c r="B400" s="1" t="s">
        <v>22</v>
      </c>
      <c r="C400" s="1" t="s">
        <v>23</v>
      </c>
      <c r="D400" s="1" t="s">
        <v>24</v>
      </c>
      <c r="E400" s="2">
        <v>20.84</v>
      </c>
      <c r="F400" s="3">
        <v>6.4</v>
      </c>
      <c r="G400" s="3">
        <v>21.76</v>
      </c>
      <c r="H400" s="4">
        <v>144.33000000000001</v>
      </c>
      <c r="I400" s="3">
        <v>81.72</v>
      </c>
      <c r="J400" t="s">
        <v>25</v>
      </c>
      <c r="K400" s="5">
        <v>4.6688799999999997</v>
      </c>
      <c r="L400" s="6" cm="1">
        <f t="array" ref="L400">_xlfn.PERCENTILE.INC(_xlfn._xlws.FILTER(tabla_base[Rendimiento_por_hectarea_ton], tabla_base[tipo_cultivo]=tabla_base[[#This Row],[tipo_cultivo]]), 0.75)</f>
        <v>5.3984449999999997</v>
      </c>
      <c r="M400" s="7" t="str">
        <f>IF(tabla_base[[#This Row],[Rendimiento_por_hectarea_ton]]&gt;tabla_base[[#This Row],[percentil_0,75]],"Sí","No")</f>
        <v>No</v>
      </c>
      <c r="N400" s="3">
        <v>0.66</v>
      </c>
      <c r="O400" t="s">
        <v>44</v>
      </c>
    </row>
    <row r="401" spans="1:15" x14ac:dyDescent="0.35">
      <c r="A401" t="s">
        <v>433</v>
      </c>
      <c r="B401" s="1" t="s">
        <v>22</v>
      </c>
      <c r="C401" s="1" t="s">
        <v>23</v>
      </c>
      <c r="D401" s="1" t="s">
        <v>35</v>
      </c>
      <c r="E401" s="2">
        <v>41.51</v>
      </c>
      <c r="F401" s="3">
        <v>6.18</v>
      </c>
      <c r="G401" s="3">
        <v>15.92</v>
      </c>
      <c r="H401" s="4">
        <v>217.61</v>
      </c>
      <c r="I401" s="3">
        <v>62.15</v>
      </c>
      <c r="J401" t="s">
        <v>28</v>
      </c>
      <c r="K401" s="5">
        <v>5.0863800000000001</v>
      </c>
      <c r="L401" s="6" cm="1">
        <f t="array" ref="L401">_xlfn.PERCENTILE.INC(_xlfn._xlws.FILTER(tabla_base[Rendimiento_por_hectarea_ton], tabla_base[tipo_cultivo]=tabla_base[[#This Row],[tipo_cultivo]]), 0.75)</f>
        <v>5.1318025</v>
      </c>
      <c r="M401" s="7" t="str">
        <f>IF(tabla_base[[#This Row],[Rendimiento_por_hectarea_ton]]&gt;tabla_base[[#This Row],[percentil_0,75]],"Sí","No")</f>
        <v>No</v>
      </c>
      <c r="N401" s="3">
        <v>0.6</v>
      </c>
      <c r="O401" t="s">
        <v>26</v>
      </c>
    </row>
    <row r="402" spans="1:15" x14ac:dyDescent="0.35">
      <c r="A402" t="s">
        <v>434</v>
      </c>
      <c r="B402" s="1" t="s">
        <v>39</v>
      </c>
      <c r="C402" s="1" t="s">
        <v>40</v>
      </c>
      <c r="D402" s="1" t="s">
        <v>24</v>
      </c>
      <c r="E402" s="2">
        <v>30.19</v>
      </c>
      <c r="F402" s="3">
        <v>5.61</v>
      </c>
      <c r="G402" s="3">
        <v>26.4</v>
      </c>
      <c r="H402" s="4">
        <v>97.35</v>
      </c>
      <c r="I402" s="3">
        <v>63.79</v>
      </c>
      <c r="J402" t="s">
        <v>28</v>
      </c>
      <c r="K402" s="5">
        <v>5.14703</v>
      </c>
      <c r="L402" s="6" cm="1">
        <f t="array" ref="L402">_xlfn.PERCENTILE.INC(_xlfn._xlws.FILTER(tabla_base[Rendimiento_por_hectarea_ton], tabla_base[tipo_cultivo]=tabla_base[[#This Row],[tipo_cultivo]]), 0.75)</f>
        <v>5.3984449999999997</v>
      </c>
      <c r="M402" s="7" t="str">
        <f>IF(tabla_base[[#This Row],[Rendimiento_por_hectarea_ton]]&gt;tabla_base[[#This Row],[percentil_0,75]],"Sí","No")</f>
        <v>No</v>
      </c>
      <c r="N402" s="3">
        <v>0.83</v>
      </c>
      <c r="O402" t="s">
        <v>26</v>
      </c>
    </row>
    <row r="403" spans="1:15" x14ac:dyDescent="0.35">
      <c r="A403" t="s">
        <v>435</v>
      </c>
      <c r="B403" s="1" t="s">
        <v>39</v>
      </c>
      <c r="C403" s="1" t="s">
        <v>40</v>
      </c>
      <c r="D403" s="1" t="s">
        <v>24</v>
      </c>
      <c r="E403" s="2">
        <v>21.22</v>
      </c>
      <c r="F403" s="3">
        <v>6.68</v>
      </c>
      <c r="G403" s="3">
        <v>24.83</v>
      </c>
      <c r="H403" s="4">
        <v>283.45999999999998</v>
      </c>
      <c r="I403" s="3">
        <v>57</v>
      </c>
      <c r="J403" t="s">
        <v>28</v>
      </c>
      <c r="K403" s="5">
        <v>5.9191400000000005</v>
      </c>
      <c r="L403" s="6" cm="1">
        <f t="array" ref="L403">_xlfn.PERCENTILE.INC(_xlfn._xlws.FILTER(tabla_base[Rendimiento_por_hectarea_ton], tabla_base[tipo_cultivo]=tabla_base[[#This Row],[tipo_cultivo]]), 0.75)</f>
        <v>5.3984449999999997</v>
      </c>
      <c r="M403" s="7" t="str">
        <f>IF(tabla_base[[#This Row],[Rendimiento_por_hectarea_ton]]&gt;tabla_base[[#This Row],[percentil_0,75]],"Sí","No")</f>
        <v>Sí</v>
      </c>
      <c r="N403" s="3">
        <v>0.47</v>
      </c>
      <c r="O403" t="s">
        <v>26</v>
      </c>
    </row>
    <row r="404" spans="1:15" x14ac:dyDescent="0.35">
      <c r="A404" t="s">
        <v>436</v>
      </c>
      <c r="B404" s="1" t="s">
        <v>16</v>
      </c>
      <c r="C404" s="1" t="s">
        <v>23</v>
      </c>
      <c r="D404" s="1" t="s">
        <v>31</v>
      </c>
      <c r="E404" s="2">
        <v>43.33</v>
      </c>
      <c r="F404" s="3">
        <v>6.86</v>
      </c>
      <c r="G404" s="3">
        <v>16.18</v>
      </c>
      <c r="H404" s="4">
        <v>290.27999999999997</v>
      </c>
      <c r="I404" s="3">
        <v>49.07</v>
      </c>
      <c r="J404" t="s">
        <v>37</v>
      </c>
      <c r="K404" s="5">
        <v>3.2968699999999997</v>
      </c>
      <c r="L404" s="6" cm="1">
        <f t="array" ref="L404">_xlfn.PERCENTILE.INC(_xlfn._xlws.FILTER(tabla_base[Rendimiento_por_hectarea_ton], tabla_base[tipo_cultivo]=tabla_base[[#This Row],[tipo_cultivo]]), 0.75)</f>
        <v>5.1742550000000005</v>
      </c>
      <c r="M404" s="7" t="str">
        <f>IF(tabla_base[[#This Row],[Rendimiento_por_hectarea_ton]]&gt;tabla_base[[#This Row],[percentil_0,75]],"Sí","No")</f>
        <v>No</v>
      </c>
      <c r="N404" s="3">
        <v>0.73</v>
      </c>
      <c r="O404" t="s">
        <v>44</v>
      </c>
    </row>
    <row r="405" spans="1:15" x14ac:dyDescent="0.35">
      <c r="A405" t="s">
        <v>437</v>
      </c>
      <c r="B405" s="1" t="s">
        <v>39</v>
      </c>
      <c r="C405" s="1" t="s">
        <v>40</v>
      </c>
      <c r="D405" s="1" t="s">
        <v>24</v>
      </c>
      <c r="E405" s="2">
        <v>18.28</v>
      </c>
      <c r="F405" s="3">
        <v>6.52</v>
      </c>
      <c r="G405" s="3">
        <v>25.09</v>
      </c>
      <c r="H405" s="4">
        <v>287.33999999999997</v>
      </c>
      <c r="I405" s="3">
        <v>53.46</v>
      </c>
      <c r="J405" t="s">
        <v>19</v>
      </c>
      <c r="K405" s="5">
        <v>5.6549399999999999</v>
      </c>
      <c r="L405" s="6" cm="1">
        <f t="array" ref="L405">_xlfn.PERCENTILE.INC(_xlfn._xlws.FILTER(tabla_base[Rendimiento_por_hectarea_ton], tabla_base[tipo_cultivo]=tabla_base[[#This Row],[tipo_cultivo]]), 0.75)</f>
        <v>5.3984449999999997</v>
      </c>
      <c r="M405" s="7" t="str">
        <f>IF(tabla_base[[#This Row],[Rendimiento_por_hectarea_ton]]&gt;tabla_base[[#This Row],[percentil_0,75]],"Sí","No")</f>
        <v>Sí</v>
      </c>
      <c r="N405" s="3">
        <v>0.79</v>
      </c>
      <c r="O405" t="s">
        <v>19</v>
      </c>
    </row>
    <row r="406" spans="1:15" x14ac:dyDescent="0.35">
      <c r="A406" t="s">
        <v>438</v>
      </c>
      <c r="B406" s="1" t="s">
        <v>39</v>
      </c>
      <c r="C406" s="1" t="s">
        <v>40</v>
      </c>
      <c r="D406" s="1" t="s">
        <v>35</v>
      </c>
      <c r="E406" s="2">
        <v>20.66</v>
      </c>
      <c r="F406" s="3">
        <v>6.31</v>
      </c>
      <c r="G406" s="3">
        <v>16.68</v>
      </c>
      <c r="H406" s="4">
        <v>208.95</v>
      </c>
      <c r="I406" s="3">
        <v>50.17</v>
      </c>
      <c r="J406" t="s">
        <v>37</v>
      </c>
      <c r="K406" s="5">
        <v>3.6950100000000003</v>
      </c>
      <c r="L406" s="6" cm="1">
        <f t="array" ref="L406">_xlfn.PERCENTILE.INC(_xlfn._xlws.FILTER(tabla_base[Rendimiento_por_hectarea_ton], tabla_base[tipo_cultivo]=tabla_base[[#This Row],[tipo_cultivo]]), 0.75)</f>
        <v>5.1318025</v>
      </c>
      <c r="M406" s="7" t="str">
        <f>IF(tabla_base[[#This Row],[Rendimiento_por_hectarea_ton]]&gt;tabla_base[[#This Row],[percentil_0,75]],"Sí","No")</f>
        <v>No</v>
      </c>
      <c r="N406" s="3">
        <v>0.33</v>
      </c>
      <c r="O406" t="s">
        <v>26</v>
      </c>
    </row>
    <row r="407" spans="1:15" x14ac:dyDescent="0.35">
      <c r="A407" t="s">
        <v>439</v>
      </c>
      <c r="B407" s="1" t="s">
        <v>16</v>
      </c>
      <c r="C407" s="1" t="s">
        <v>23</v>
      </c>
      <c r="D407" s="1" t="s">
        <v>18</v>
      </c>
      <c r="E407" s="2">
        <v>12.11</v>
      </c>
      <c r="F407" s="3">
        <v>7.34</v>
      </c>
      <c r="G407" s="3">
        <v>20.47</v>
      </c>
      <c r="H407" s="4">
        <v>112.72</v>
      </c>
      <c r="I407" s="3">
        <v>74</v>
      </c>
      <c r="J407" t="s">
        <v>25</v>
      </c>
      <c r="K407" s="5">
        <v>4.9567299999999994</v>
      </c>
      <c r="L407" s="6" cm="1">
        <f t="array" ref="L407">_xlfn.PERCENTILE.INC(_xlfn._xlws.FILTER(tabla_base[Rendimiento_por_hectarea_ton], tabla_base[tipo_cultivo]=tabla_base[[#This Row],[tipo_cultivo]]), 0.75)</f>
        <v>5.2079399999999998</v>
      </c>
      <c r="M407" s="7" t="str">
        <f>IF(tabla_base[[#This Row],[Rendimiento_por_hectarea_ton]]&gt;tabla_base[[#This Row],[percentil_0,75]],"Sí","No")</f>
        <v>No</v>
      </c>
      <c r="N407" s="3">
        <v>0.87</v>
      </c>
      <c r="O407" t="s">
        <v>20</v>
      </c>
    </row>
    <row r="408" spans="1:15" x14ac:dyDescent="0.35">
      <c r="A408" t="s">
        <v>440</v>
      </c>
      <c r="B408" s="1" t="s">
        <v>39</v>
      </c>
      <c r="C408" s="1" t="s">
        <v>40</v>
      </c>
      <c r="D408" s="1" t="s">
        <v>31</v>
      </c>
      <c r="E408" s="2">
        <v>40.74</v>
      </c>
      <c r="F408" s="3">
        <v>5.92</v>
      </c>
      <c r="G408" s="3">
        <v>25.1</v>
      </c>
      <c r="H408" s="4">
        <v>250.51</v>
      </c>
      <c r="I408" s="3">
        <v>84.2</v>
      </c>
      <c r="J408" t="s">
        <v>37</v>
      </c>
      <c r="K408" s="5">
        <v>3.36652</v>
      </c>
      <c r="L408" s="6" cm="1">
        <f t="array" ref="L408">_xlfn.PERCENTILE.INC(_xlfn._xlws.FILTER(tabla_base[Rendimiento_por_hectarea_ton], tabla_base[tipo_cultivo]=tabla_base[[#This Row],[tipo_cultivo]]), 0.75)</f>
        <v>5.1742550000000005</v>
      </c>
      <c r="M408" s="7" t="str">
        <f>IF(tabla_base[[#This Row],[Rendimiento_por_hectarea_ton]]&gt;tabla_base[[#This Row],[percentil_0,75]],"Sí","No")</f>
        <v>No</v>
      </c>
      <c r="N408" s="3">
        <v>0.74</v>
      </c>
      <c r="O408" t="s">
        <v>20</v>
      </c>
    </row>
    <row r="409" spans="1:15" x14ac:dyDescent="0.35">
      <c r="A409" t="s">
        <v>441</v>
      </c>
      <c r="B409" s="1" t="s">
        <v>16</v>
      </c>
      <c r="C409" s="1" t="s">
        <v>17</v>
      </c>
      <c r="D409" s="1" t="s">
        <v>24</v>
      </c>
      <c r="E409" s="2">
        <v>26.68</v>
      </c>
      <c r="F409" s="3">
        <v>7.3</v>
      </c>
      <c r="G409" s="3">
        <v>28.45</v>
      </c>
      <c r="H409" s="4">
        <v>153.29</v>
      </c>
      <c r="I409" s="3">
        <v>84.76</v>
      </c>
      <c r="J409" t="s">
        <v>19</v>
      </c>
      <c r="K409" s="5">
        <v>4.1546000000000003</v>
      </c>
      <c r="L409" s="6" cm="1">
        <f t="array" ref="L409">_xlfn.PERCENTILE.INC(_xlfn._xlws.FILTER(tabla_base[Rendimiento_por_hectarea_ton], tabla_base[tipo_cultivo]=tabla_base[[#This Row],[tipo_cultivo]]), 0.75)</f>
        <v>5.3984449999999997</v>
      </c>
      <c r="M409" s="7" t="str">
        <f>IF(tabla_base[[#This Row],[Rendimiento_por_hectarea_ton]]&gt;tabla_base[[#This Row],[percentil_0,75]],"Sí","No")</f>
        <v>No</v>
      </c>
      <c r="N409" s="3">
        <v>0.53</v>
      </c>
      <c r="O409" t="s">
        <v>44</v>
      </c>
    </row>
    <row r="410" spans="1:15" x14ac:dyDescent="0.35">
      <c r="A410" t="s">
        <v>442</v>
      </c>
      <c r="B410" s="1" t="s">
        <v>39</v>
      </c>
      <c r="C410" s="1" t="s">
        <v>40</v>
      </c>
      <c r="D410" s="1" t="s">
        <v>31</v>
      </c>
      <c r="E410" s="2">
        <v>23.54</v>
      </c>
      <c r="F410" s="3">
        <v>7.18</v>
      </c>
      <c r="G410" s="3">
        <v>31.24</v>
      </c>
      <c r="H410" s="4">
        <v>295.95</v>
      </c>
      <c r="I410" s="3">
        <v>46.24</v>
      </c>
      <c r="J410" t="s">
        <v>25</v>
      </c>
      <c r="K410" s="5">
        <v>3.1245400000000001</v>
      </c>
      <c r="L410" s="6" cm="1">
        <f t="array" ref="L410">_xlfn.PERCENTILE.INC(_xlfn._xlws.FILTER(tabla_base[Rendimiento_por_hectarea_ton], tabla_base[tipo_cultivo]=tabla_base[[#This Row],[tipo_cultivo]]), 0.75)</f>
        <v>5.1742550000000005</v>
      </c>
      <c r="M410" s="7" t="str">
        <f>IF(tabla_base[[#This Row],[Rendimiento_por_hectarea_ton]]&gt;tabla_base[[#This Row],[percentil_0,75]],"Sí","No")</f>
        <v>No</v>
      </c>
      <c r="N410" s="3">
        <v>0.31</v>
      </c>
      <c r="O410" t="s">
        <v>44</v>
      </c>
    </row>
    <row r="411" spans="1:15" x14ac:dyDescent="0.35">
      <c r="A411" t="s">
        <v>443</v>
      </c>
      <c r="B411" s="1" t="s">
        <v>16</v>
      </c>
      <c r="C411" s="1" t="s">
        <v>23</v>
      </c>
      <c r="D411" s="1" t="s">
        <v>33</v>
      </c>
      <c r="E411" s="2">
        <v>43.86</v>
      </c>
      <c r="F411" s="3">
        <v>5.57</v>
      </c>
      <c r="G411" s="3">
        <v>24.86</v>
      </c>
      <c r="H411" s="4">
        <v>226.01</v>
      </c>
      <c r="I411" s="3">
        <v>70.3</v>
      </c>
      <c r="J411" t="s">
        <v>19</v>
      </c>
      <c r="K411" s="5">
        <v>2.6819099999999998</v>
      </c>
      <c r="L411" s="6" cm="1">
        <f t="array" ref="L411">_xlfn.PERCENTILE.INC(_xlfn._xlws.FILTER(tabla_base[Rendimiento_por_hectarea_ton], tabla_base[tipo_cultivo]=tabla_base[[#This Row],[tipo_cultivo]]), 0.75)</f>
        <v>5.1635450000000001</v>
      </c>
      <c r="M411" s="7" t="str">
        <f>IF(tabla_base[[#This Row],[Rendimiento_por_hectarea_ton]]&gt;tabla_base[[#This Row],[percentil_0,75]],"Sí","No")</f>
        <v>No</v>
      </c>
      <c r="N411" s="3">
        <v>0.41</v>
      </c>
      <c r="O411" t="s">
        <v>19</v>
      </c>
    </row>
    <row r="412" spans="1:15" x14ac:dyDescent="0.35">
      <c r="A412" t="s">
        <v>444</v>
      </c>
      <c r="B412" s="1" t="s">
        <v>16</v>
      </c>
      <c r="C412" s="1" t="s">
        <v>17</v>
      </c>
      <c r="D412" s="1" t="s">
        <v>24</v>
      </c>
      <c r="E412" s="2">
        <v>14.49</v>
      </c>
      <c r="F412" s="3">
        <v>5.63</v>
      </c>
      <c r="G412" s="3">
        <v>20.190000000000001</v>
      </c>
      <c r="H412" s="4">
        <v>192.48</v>
      </c>
      <c r="I412" s="3">
        <v>51.4</v>
      </c>
      <c r="J412" t="s">
        <v>37</v>
      </c>
      <c r="K412" s="5">
        <v>4.1317700000000004</v>
      </c>
      <c r="L412" s="6" cm="1">
        <f t="array" ref="L412">_xlfn.PERCENTILE.INC(_xlfn._xlws.FILTER(tabla_base[Rendimiento_por_hectarea_ton], tabla_base[tipo_cultivo]=tabla_base[[#This Row],[tipo_cultivo]]), 0.75)</f>
        <v>5.3984449999999997</v>
      </c>
      <c r="M412" s="7" t="str">
        <f>IF(tabla_base[[#This Row],[Rendimiento_por_hectarea_ton]]&gt;tabla_base[[#This Row],[percentil_0,75]],"Sí","No")</f>
        <v>No</v>
      </c>
      <c r="N412" s="3">
        <v>0.37</v>
      </c>
      <c r="O412" t="s">
        <v>19</v>
      </c>
    </row>
    <row r="413" spans="1:15" x14ac:dyDescent="0.35">
      <c r="A413" t="s">
        <v>445</v>
      </c>
      <c r="B413" s="1" t="s">
        <v>16</v>
      </c>
      <c r="C413" s="1" t="s">
        <v>17</v>
      </c>
      <c r="D413" s="1" t="s">
        <v>31</v>
      </c>
      <c r="E413" s="2">
        <v>25.14</v>
      </c>
      <c r="F413" s="3">
        <v>7.49</v>
      </c>
      <c r="G413" s="3">
        <v>20.48</v>
      </c>
      <c r="H413" s="4">
        <v>220.04</v>
      </c>
      <c r="I413" s="3">
        <v>63.33</v>
      </c>
      <c r="J413" t="s">
        <v>28</v>
      </c>
      <c r="K413" s="5">
        <v>3.7954499999999998</v>
      </c>
      <c r="L413" s="6" cm="1">
        <f t="array" ref="L413">_xlfn.PERCENTILE.INC(_xlfn._xlws.FILTER(tabla_base[Rendimiento_por_hectarea_ton], tabla_base[tipo_cultivo]=tabla_base[[#This Row],[tipo_cultivo]]), 0.75)</f>
        <v>5.1742550000000005</v>
      </c>
      <c r="M413" s="7" t="str">
        <f>IF(tabla_base[[#This Row],[Rendimiento_por_hectarea_ton]]&gt;tabla_base[[#This Row],[percentil_0,75]],"Sí","No")</f>
        <v>No</v>
      </c>
      <c r="N413" s="3">
        <v>0.39</v>
      </c>
      <c r="O413" t="s">
        <v>44</v>
      </c>
    </row>
    <row r="414" spans="1:15" x14ac:dyDescent="0.35">
      <c r="A414" t="s">
        <v>446</v>
      </c>
      <c r="B414" s="1" t="s">
        <v>16</v>
      </c>
      <c r="C414" s="1" t="s">
        <v>23</v>
      </c>
      <c r="D414" s="1" t="s">
        <v>33</v>
      </c>
      <c r="E414" s="2">
        <v>43.52</v>
      </c>
      <c r="F414" s="3">
        <v>7.33</v>
      </c>
      <c r="G414" s="3">
        <v>18.940000000000001</v>
      </c>
      <c r="H414" s="4">
        <v>132.31</v>
      </c>
      <c r="I414" s="3">
        <v>43.14</v>
      </c>
      <c r="J414" t="s">
        <v>28</v>
      </c>
      <c r="K414" s="5">
        <v>4.5051899999999998</v>
      </c>
      <c r="L414" s="6" cm="1">
        <f t="array" ref="L414">_xlfn.PERCENTILE.INC(_xlfn._xlws.FILTER(tabla_base[Rendimiento_por_hectarea_ton], tabla_base[tipo_cultivo]=tabla_base[[#This Row],[tipo_cultivo]]), 0.75)</f>
        <v>5.1635450000000001</v>
      </c>
      <c r="M414" s="7" t="str">
        <f>IF(tabla_base[[#This Row],[Rendimiento_por_hectarea_ton]]&gt;tabla_base[[#This Row],[percentil_0,75]],"Sí","No")</f>
        <v>No</v>
      </c>
      <c r="N414" s="3">
        <v>0.56999999999999995</v>
      </c>
      <c r="O414" t="s">
        <v>20</v>
      </c>
    </row>
    <row r="415" spans="1:15" x14ac:dyDescent="0.35">
      <c r="A415" t="s">
        <v>447</v>
      </c>
      <c r="B415" s="1" t="s">
        <v>16</v>
      </c>
      <c r="C415" s="1" t="s">
        <v>17</v>
      </c>
      <c r="D415" s="1" t="s">
        <v>31</v>
      </c>
      <c r="E415" s="2">
        <v>28.19</v>
      </c>
      <c r="F415" s="3">
        <v>5.97</v>
      </c>
      <c r="G415" s="3">
        <v>16.46</v>
      </c>
      <c r="H415" s="4">
        <v>199.99</v>
      </c>
      <c r="I415" s="3">
        <v>61.93</v>
      </c>
      <c r="J415" t="s">
        <v>19</v>
      </c>
      <c r="K415" s="5">
        <v>3.25312</v>
      </c>
      <c r="L415" s="6" cm="1">
        <f t="array" ref="L415">_xlfn.PERCENTILE.INC(_xlfn._xlws.FILTER(tabla_base[Rendimiento_por_hectarea_ton], tabla_base[tipo_cultivo]=tabla_base[[#This Row],[tipo_cultivo]]), 0.75)</f>
        <v>5.1742550000000005</v>
      </c>
      <c r="M415" s="7" t="str">
        <f>IF(tabla_base[[#This Row],[Rendimiento_por_hectarea_ton]]&gt;tabla_base[[#This Row],[percentil_0,75]],"Sí","No")</f>
        <v>No</v>
      </c>
      <c r="N415" s="3">
        <v>0.4</v>
      </c>
      <c r="O415" t="s">
        <v>26</v>
      </c>
    </row>
    <row r="416" spans="1:15" x14ac:dyDescent="0.35">
      <c r="A416" t="s">
        <v>448</v>
      </c>
      <c r="B416" s="1" t="s">
        <v>16</v>
      </c>
      <c r="C416" s="1" t="s">
        <v>17</v>
      </c>
      <c r="D416" s="1" t="s">
        <v>31</v>
      </c>
      <c r="E416" s="2">
        <v>31.38</v>
      </c>
      <c r="F416" s="3">
        <v>6.36</v>
      </c>
      <c r="G416" s="3">
        <v>17.04</v>
      </c>
      <c r="H416" s="4">
        <v>63.95</v>
      </c>
      <c r="I416" s="3">
        <v>42.61</v>
      </c>
      <c r="J416" t="s">
        <v>19</v>
      </c>
      <c r="K416" s="5">
        <v>4.3982999999999999</v>
      </c>
      <c r="L416" s="6" cm="1">
        <f t="array" ref="L416">_xlfn.PERCENTILE.INC(_xlfn._xlws.FILTER(tabla_base[Rendimiento_por_hectarea_ton], tabla_base[tipo_cultivo]=tabla_base[[#This Row],[tipo_cultivo]]), 0.75)</f>
        <v>5.1742550000000005</v>
      </c>
      <c r="M416" s="7" t="str">
        <f>IF(tabla_base[[#This Row],[Rendimiento_por_hectarea_ton]]&gt;tabla_base[[#This Row],[percentil_0,75]],"Sí","No")</f>
        <v>No</v>
      </c>
      <c r="N416" s="3">
        <v>0.75</v>
      </c>
      <c r="O416" t="s">
        <v>26</v>
      </c>
    </row>
    <row r="417" spans="1:15" x14ac:dyDescent="0.35">
      <c r="A417" t="s">
        <v>449</v>
      </c>
      <c r="B417" s="1" t="s">
        <v>22</v>
      </c>
      <c r="C417" s="1" t="s">
        <v>30</v>
      </c>
      <c r="D417" s="1" t="s">
        <v>18</v>
      </c>
      <c r="E417" s="2">
        <v>25.89</v>
      </c>
      <c r="F417" s="3">
        <v>6.16</v>
      </c>
      <c r="G417" s="3">
        <v>18.850000000000001</v>
      </c>
      <c r="H417" s="4">
        <v>75.67</v>
      </c>
      <c r="I417" s="3">
        <v>69.760000000000005</v>
      </c>
      <c r="J417" t="s">
        <v>25</v>
      </c>
      <c r="K417" s="5">
        <v>3.6840300000000004</v>
      </c>
      <c r="L417" s="6" cm="1">
        <f t="array" ref="L417">_xlfn.PERCENTILE.INC(_xlfn._xlws.FILTER(tabla_base[Rendimiento_por_hectarea_ton], tabla_base[tipo_cultivo]=tabla_base[[#This Row],[tipo_cultivo]]), 0.75)</f>
        <v>5.2079399999999998</v>
      </c>
      <c r="M417" s="7" t="str">
        <f>IF(tabla_base[[#This Row],[Rendimiento_por_hectarea_ton]]&gt;tabla_base[[#This Row],[percentil_0,75]],"Sí","No")</f>
        <v>No</v>
      </c>
      <c r="N417" s="3">
        <v>0.53</v>
      </c>
      <c r="O417" t="s">
        <v>26</v>
      </c>
    </row>
    <row r="418" spans="1:15" x14ac:dyDescent="0.35">
      <c r="A418" t="s">
        <v>450</v>
      </c>
      <c r="B418" s="1" t="s">
        <v>16</v>
      </c>
      <c r="C418" s="1" t="s">
        <v>17</v>
      </c>
      <c r="D418" s="1" t="s">
        <v>35</v>
      </c>
      <c r="E418" s="2">
        <v>20.91</v>
      </c>
      <c r="F418" s="3">
        <v>6.37</v>
      </c>
      <c r="G418" s="3">
        <v>34.19</v>
      </c>
      <c r="H418" s="4">
        <v>238.59</v>
      </c>
      <c r="I418" s="3">
        <v>55.56</v>
      </c>
      <c r="J418" t="s">
        <v>25</v>
      </c>
      <c r="K418" s="5">
        <v>3.47532</v>
      </c>
      <c r="L418" s="6" cm="1">
        <f t="array" ref="L418">_xlfn.PERCENTILE.INC(_xlfn._xlws.FILTER(tabla_base[Rendimiento_por_hectarea_ton], tabla_base[tipo_cultivo]=tabla_base[[#This Row],[tipo_cultivo]]), 0.75)</f>
        <v>5.1318025</v>
      </c>
      <c r="M418" s="7" t="str">
        <f>IF(tabla_base[[#This Row],[Rendimiento_por_hectarea_ton]]&gt;tabla_base[[#This Row],[percentil_0,75]],"Sí","No")</f>
        <v>No</v>
      </c>
      <c r="N418" s="3">
        <v>0.74</v>
      </c>
      <c r="O418" t="s">
        <v>19</v>
      </c>
    </row>
    <row r="419" spans="1:15" x14ac:dyDescent="0.35">
      <c r="A419" t="s">
        <v>451</v>
      </c>
      <c r="B419" s="1" t="s">
        <v>39</v>
      </c>
      <c r="C419" s="1" t="s">
        <v>40</v>
      </c>
      <c r="D419" s="1" t="s">
        <v>24</v>
      </c>
      <c r="E419" s="2">
        <v>40.049999999999997</v>
      </c>
      <c r="F419" s="3">
        <v>6.34</v>
      </c>
      <c r="G419" s="3">
        <v>18.91</v>
      </c>
      <c r="H419" s="4">
        <v>100.09</v>
      </c>
      <c r="I419" s="3">
        <v>85.43</v>
      </c>
      <c r="J419" t="s">
        <v>37</v>
      </c>
      <c r="K419" s="5">
        <v>4.3990499999999999</v>
      </c>
      <c r="L419" s="6" cm="1">
        <f t="array" ref="L419">_xlfn.PERCENTILE.INC(_xlfn._xlws.FILTER(tabla_base[Rendimiento_por_hectarea_ton], tabla_base[tipo_cultivo]=tabla_base[[#This Row],[tipo_cultivo]]), 0.75)</f>
        <v>5.3984449999999997</v>
      </c>
      <c r="M419" s="7" t="str">
        <f>IF(tabla_base[[#This Row],[Rendimiento_por_hectarea_ton]]&gt;tabla_base[[#This Row],[percentil_0,75]],"Sí","No")</f>
        <v>No</v>
      </c>
      <c r="N419" s="3">
        <v>0.47</v>
      </c>
      <c r="O419" t="s">
        <v>26</v>
      </c>
    </row>
    <row r="420" spans="1:15" x14ac:dyDescent="0.35">
      <c r="A420" t="s">
        <v>452</v>
      </c>
      <c r="B420" s="1" t="s">
        <v>22</v>
      </c>
      <c r="C420" s="1" t="s">
        <v>23</v>
      </c>
      <c r="D420" s="1" t="s">
        <v>31</v>
      </c>
      <c r="E420" s="2">
        <v>15.68</v>
      </c>
      <c r="F420" s="3">
        <v>6.41</v>
      </c>
      <c r="G420" s="3">
        <v>30.78</v>
      </c>
      <c r="H420" s="4">
        <v>60.55</v>
      </c>
      <c r="I420" s="3">
        <v>50.97</v>
      </c>
      <c r="J420" t="s">
        <v>25</v>
      </c>
      <c r="K420" s="5">
        <v>3.9229799999999999</v>
      </c>
      <c r="L420" s="6" cm="1">
        <f t="array" ref="L420">_xlfn.PERCENTILE.INC(_xlfn._xlws.FILTER(tabla_base[Rendimiento_por_hectarea_ton], tabla_base[tipo_cultivo]=tabla_base[[#This Row],[tipo_cultivo]]), 0.75)</f>
        <v>5.1742550000000005</v>
      </c>
      <c r="M420" s="7" t="str">
        <f>IF(tabla_base[[#This Row],[Rendimiento_por_hectarea_ton]]&gt;tabla_base[[#This Row],[percentil_0,75]],"Sí","No")</f>
        <v>No</v>
      </c>
      <c r="N420" s="3">
        <v>0.38</v>
      </c>
      <c r="O420" t="s">
        <v>19</v>
      </c>
    </row>
    <row r="421" spans="1:15" x14ac:dyDescent="0.35">
      <c r="A421" t="s">
        <v>453</v>
      </c>
      <c r="B421" s="1" t="s">
        <v>22</v>
      </c>
      <c r="C421" s="1" t="s">
        <v>23</v>
      </c>
      <c r="D421" s="1" t="s">
        <v>35</v>
      </c>
      <c r="E421" s="2">
        <v>38.909999999999997</v>
      </c>
      <c r="F421" s="3">
        <v>5.51</v>
      </c>
      <c r="G421" s="3">
        <v>15.2</v>
      </c>
      <c r="H421" s="4">
        <v>139.47</v>
      </c>
      <c r="I421" s="3">
        <v>67.73</v>
      </c>
      <c r="J421" t="s">
        <v>19</v>
      </c>
      <c r="K421" s="5">
        <v>2.7964899999999999</v>
      </c>
      <c r="L421" s="6" cm="1">
        <f t="array" ref="L421">_xlfn.PERCENTILE.INC(_xlfn._xlws.FILTER(tabla_base[Rendimiento_por_hectarea_ton], tabla_base[tipo_cultivo]=tabla_base[[#This Row],[tipo_cultivo]]), 0.75)</f>
        <v>5.1318025</v>
      </c>
      <c r="M421" s="7" t="str">
        <f>IF(tabla_base[[#This Row],[Rendimiento_por_hectarea_ton]]&gt;tabla_base[[#This Row],[percentil_0,75]],"Sí","No")</f>
        <v>No</v>
      </c>
      <c r="N421" s="3">
        <v>0.76</v>
      </c>
      <c r="O421" t="s">
        <v>19</v>
      </c>
    </row>
    <row r="422" spans="1:15" x14ac:dyDescent="0.35">
      <c r="A422" t="s">
        <v>454</v>
      </c>
      <c r="B422" s="1" t="s">
        <v>39</v>
      </c>
      <c r="C422" s="1" t="s">
        <v>40</v>
      </c>
      <c r="D422" s="1" t="s">
        <v>35</v>
      </c>
      <c r="E422" s="2">
        <v>16.25</v>
      </c>
      <c r="F422" s="3">
        <v>5.54</v>
      </c>
      <c r="G422" s="3">
        <v>31.86</v>
      </c>
      <c r="H422" s="4">
        <v>277.66000000000003</v>
      </c>
      <c r="I422" s="3">
        <v>41.05</v>
      </c>
      <c r="J422" t="s">
        <v>19</v>
      </c>
      <c r="K422" s="5">
        <v>2.8409499999999999</v>
      </c>
      <c r="L422" s="6" cm="1">
        <f t="array" ref="L422">_xlfn.PERCENTILE.INC(_xlfn._xlws.FILTER(tabla_base[Rendimiento_por_hectarea_ton], tabla_base[tipo_cultivo]=tabla_base[[#This Row],[tipo_cultivo]]), 0.75)</f>
        <v>5.1318025</v>
      </c>
      <c r="M422" s="7" t="str">
        <f>IF(tabla_base[[#This Row],[Rendimiento_por_hectarea_ton]]&gt;tabla_base[[#This Row],[percentil_0,75]],"Sí","No")</f>
        <v>No</v>
      </c>
      <c r="N422" s="3">
        <v>0.42</v>
      </c>
      <c r="O422" t="s">
        <v>20</v>
      </c>
    </row>
    <row r="423" spans="1:15" x14ac:dyDescent="0.35">
      <c r="A423" t="s">
        <v>455</v>
      </c>
      <c r="B423" s="1" t="s">
        <v>16</v>
      </c>
      <c r="C423" s="1" t="s">
        <v>17</v>
      </c>
      <c r="D423" s="1" t="s">
        <v>18</v>
      </c>
      <c r="E423" s="2">
        <v>15.06</v>
      </c>
      <c r="F423" s="3">
        <v>7.35</v>
      </c>
      <c r="G423" s="3">
        <v>30.9</v>
      </c>
      <c r="H423" s="4">
        <v>97.92</v>
      </c>
      <c r="I423" s="3">
        <v>58.91</v>
      </c>
      <c r="J423" t="s">
        <v>19</v>
      </c>
      <c r="K423" s="5">
        <v>4.3493000000000004</v>
      </c>
      <c r="L423" s="6" cm="1">
        <f t="array" ref="L423">_xlfn.PERCENTILE.INC(_xlfn._xlws.FILTER(tabla_base[Rendimiento_por_hectarea_ton], tabla_base[tipo_cultivo]=tabla_base[[#This Row],[tipo_cultivo]]), 0.75)</f>
        <v>5.2079399999999998</v>
      </c>
      <c r="M423" s="7" t="str">
        <f>IF(tabla_base[[#This Row],[Rendimiento_por_hectarea_ton]]&gt;tabla_base[[#This Row],[percentil_0,75]],"Sí","No")</f>
        <v>No</v>
      </c>
      <c r="N423" s="3">
        <v>0.49</v>
      </c>
      <c r="O423" t="s">
        <v>26</v>
      </c>
    </row>
    <row r="424" spans="1:15" x14ac:dyDescent="0.35">
      <c r="A424" t="s">
        <v>456</v>
      </c>
      <c r="B424" s="1" t="s">
        <v>16</v>
      </c>
      <c r="C424" s="1" t="s">
        <v>23</v>
      </c>
      <c r="D424" s="1" t="s">
        <v>24</v>
      </c>
      <c r="E424" s="2">
        <v>43.89</v>
      </c>
      <c r="F424" s="3">
        <v>7.27</v>
      </c>
      <c r="G424" s="3">
        <v>19.18</v>
      </c>
      <c r="H424" s="4">
        <v>70.349999999999994</v>
      </c>
      <c r="I424" s="3">
        <v>63.53</v>
      </c>
      <c r="J424" t="s">
        <v>28</v>
      </c>
      <c r="K424" s="5">
        <v>3.4970599999999998</v>
      </c>
      <c r="L424" s="6" cm="1">
        <f t="array" ref="L424">_xlfn.PERCENTILE.INC(_xlfn._xlws.FILTER(tabla_base[Rendimiento_por_hectarea_ton], tabla_base[tipo_cultivo]=tabla_base[[#This Row],[tipo_cultivo]]), 0.75)</f>
        <v>5.3984449999999997</v>
      </c>
      <c r="M424" s="7" t="str">
        <f>IF(tabla_base[[#This Row],[Rendimiento_por_hectarea_ton]]&gt;tabla_base[[#This Row],[percentil_0,75]],"Sí","No")</f>
        <v>No</v>
      </c>
      <c r="N424" s="3">
        <v>0.83</v>
      </c>
      <c r="O424" t="s">
        <v>44</v>
      </c>
    </row>
    <row r="425" spans="1:15" x14ac:dyDescent="0.35">
      <c r="A425" t="s">
        <v>457</v>
      </c>
      <c r="B425" s="1" t="s">
        <v>22</v>
      </c>
      <c r="C425" s="1" t="s">
        <v>23</v>
      </c>
      <c r="D425" s="1" t="s">
        <v>33</v>
      </c>
      <c r="E425" s="2">
        <v>19.39</v>
      </c>
      <c r="F425" s="3">
        <v>6.3</v>
      </c>
      <c r="G425" s="3">
        <v>33.42</v>
      </c>
      <c r="H425" s="4">
        <v>196</v>
      </c>
      <c r="I425" s="3">
        <v>41.83</v>
      </c>
      <c r="J425" t="s">
        <v>25</v>
      </c>
      <c r="K425" s="5">
        <v>3.7000900000000003</v>
      </c>
      <c r="L425" s="6" cm="1">
        <f t="array" ref="L425">_xlfn.PERCENTILE.INC(_xlfn._xlws.FILTER(tabla_base[Rendimiento_por_hectarea_ton], tabla_base[tipo_cultivo]=tabla_base[[#This Row],[tipo_cultivo]]), 0.75)</f>
        <v>5.1635450000000001</v>
      </c>
      <c r="M425" s="7" t="str">
        <f>IF(tabla_base[[#This Row],[Rendimiento_por_hectarea_ton]]&gt;tabla_base[[#This Row],[percentil_0,75]],"Sí","No")</f>
        <v>No</v>
      </c>
      <c r="N425" s="3">
        <v>0.33</v>
      </c>
      <c r="O425" t="s">
        <v>26</v>
      </c>
    </row>
    <row r="426" spans="1:15" x14ac:dyDescent="0.35">
      <c r="A426" t="s">
        <v>458</v>
      </c>
      <c r="B426" s="1" t="s">
        <v>16</v>
      </c>
      <c r="C426" s="1" t="s">
        <v>23</v>
      </c>
      <c r="D426" s="1" t="s">
        <v>18</v>
      </c>
      <c r="E426" s="2">
        <v>20.329999999999998</v>
      </c>
      <c r="F426" s="3">
        <v>6.54</v>
      </c>
      <c r="G426" s="3">
        <v>19.600000000000001</v>
      </c>
      <c r="H426" s="4">
        <v>60.29</v>
      </c>
      <c r="I426" s="3">
        <v>65.61</v>
      </c>
      <c r="J426" t="s">
        <v>19</v>
      </c>
      <c r="K426" s="5">
        <v>3.2680799999999999</v>
      </c>
      <c r="L426" s="6" cm="1">
        <f t="array" ref="L426">_xlfn.PERCENTILE.INC(_xlfn._xlws.FILTER(tabla_base[Rendimiento_por_hectarea_ton], tabla_base[tipo_cultivo]=tabla_base[[#This Row],[tipo_cultivo]]), 0.75)</f>
        <v>5.2079399999999998</v>
      </c>
      <c r="M426" s="7" t="str">
        <f>IF(tabla_base[[#This Row],[Rendimiento_por_hectarea_ton]]&gt;tabla_base[[#This Row],[percentil_0,75]],"Sí","No")</f>
        <v>No</v>
      </c>
      <c r="N426" s="3">
        <v>0.66</v>
      </c>
      <c r="O426" t="s">
        <v>19</v>
      </c>
    </row>
    <row r="427" spans="1:15" x14ac:dyDescent="0.35">
      <c r="A427" t="s">
        <v>459</v>
      </c>
      <c r="B427" s="1" t="s">
        <v>22</v>
      </c>
      <c r="C427" s="1" t="s">
        <v>30</v>
      </c>
      <c r="D427" s="1" t="s">
        <v>18</v>
      </c>
      <c r="E427" s="2">
        <v>20.309999999999999</v>
      </c>
      <c r="F427" s="3">
        <v>6.5</v>
      </c>
      <c r="G427" s="3">
        <v>25.93</v>
      </c>
      <c r="H427" s="4">
        <v>69.540000000000006</v>
      </c>
      <c r="I427" s="3">
        <v>53.82</v>
      </c>
      <c r="J427" t="s">
        <v>28</v>
      </c>
      <c r="K427" s="5">
        <v>2.7865900000000003</v>
      </c>
      <c r="L427" s="6" cm="1">
        <f t="array" ref="L427">_xlfn.PERCENTILE.INC(_xlfn._xlws.FILTER(tabla_base[Rendimiento_por_hectarea_ton], tabla_base[tipo_cultivo]=tabla_base[[#This Row],[tipo_cultivo]]), 0.75)</f>
        <v>5.2079399999999998</v>
      </c>
      <c r="M427" s="7" t="str">
        <f>IF(tabla_base[[#This Row],[Rendimiento_por_hectarea_ton]]&gt;tabla_base[[#This Row],[percentil_0,75]],"Sí","No")</f>
        <v>No</v>
      </c>
      <c r="N427" s="3">
        <v>0.72</v>
      </c>
      <c r="O427" t="s">
        <v>26</v>
      </c>
    </row>
    <row r="428" spans="1:15" x14ac:dyDescent="0.35">
      <c r="A428" t="s">
        <v>460</v>
      </c>
      <c r="B428" s="1" t="s">
        <v>16</v>
      </c>
      <c r="C428" s="1" t="s">
        <v>23</v>
      </c>
      <c r="D428" s="1" t="s">
        <v>24</v>
      </c>
      <c r="E428" s="2">
        <v>44.93</v>
      </c>
      <c r="F428" s="3">
        <v>7.5</v>
      </c>
      <c r="G428" s="3">
        <v>30.05</v>
      </c>
      <c r="H428" s="4">
        <v>234.96</v>
      </c>
      <c r="I428" s="3">
        <v>85.62</v>
      </c>
      <c r="J428" t="s">
        <v>37</v>
      </c>
      <c r="K428" s="5">
        <v>4.31982</v>
      </c>
      <c r="L428" s="6" cm="1">
        <f t="array" ref="L428">_xlfn.PERCENTILE.INC(_xlfn._xlws.FILTER(tabla_base[Rendimiento_por_hectarea_ton], tabla_base[tipo_cultivo]=tabla_base[[#This Row],[tipo_cultivo]]), 0.75)</f>
        <v>5.3984449999999997</v>
      </c>
      <c r="M428" s="7" t="str">
        <f>IF(tabla_base[[#This Row],[Rendimiento_por_hectarea_ton]]&gt;tabla_base[[#This Row],[percentil_0,75]],"Sí","No")</f>
        <v>No</v>
      </c>
      <c r="N428" s="3">
        <v>0.64</v>
      </c>
      <c r="O428" t="s">
        <v>44</v>
      </c>
    </row>
    <row r="429" spans="1:15" x14ac:dyDescent="0.35">
      <c r="A429" t="s">
        <v>461</v>
      </c>
      <c r="B429" s="1" t="s">
        <v>22</v>
      </c>
      <c r="C429" s="1" t="s">
        <v>23</v>
      </c>
      <c r="D429" s="1" t="s">
        <v>35</v>
      </c>
      <c r="E429" s="2">
        <v>17.940000000000001</v>
      </c>
      <c r="F429" s="3">
        <v>7</v>
      </c>
      <c r="G429" s="3">
        <v>24.49</v>
      </c>
      <c r="H429" s="4">
        <v>178.96</v>
      </c>
      <c r="I429" s="3">
        <v>79.3</v>
      </c>
      <c r="J429" t="s">
        <v>19</v>
      </c>
      <c r="K429" s="5">
        <v>3.7151700000000001</v>
      </c>
      <c r="L429" s="6" cm="1">
        <f t="array" ref="L429">_xlfn.PERCENTILE.INC(_xlfn._xlws.FILTER(tabla_base[Rendimiento_por_hectarea_ton], tabla_base[tipo_cultivo]=tabla_base[[#This Row],[tipo_cultivo]]), 0.75)</f>
        <v>5.1318025</v>
      </c>
      <c r="M429" s="7" t="str">
        <f>IF(tabla_base[[#This Row],[Rendimiento_por_hectarea_ton]]&gt;tabla_base[[#This Row],[percentil_0,75]],"Sí","No")</f>
        <v>No</v>
      </c>
      <c r="N429" s="3">
        <v>0.38</v>
      </c>
      <c r="O429" t="s">
        <v>26</v>
      </c>
    </row>
    <row r="430" spans="1:15" x14ac:dyDescent="0.35">
      <c r="A430" t="s">
        <v>462</v>
      </c>
      <c r="B430" s="1" t="s">
        <v>22</v>
      </c>
      <c r="C430" s="1" t="s">
        <v>30</v>
      </c>
      <c r="D430" s="1" t="s">
        <v>35</v>
      </c>
      <c r="E430" s="2">
        <v>30.21</v>
      </c>
      <c r="F430" s="3">
        <v>5.76</v>
      </c>
      <c r="G430" s="3">
        <v>33.869999999999997</v>
      </c>
      <c r="H430" s="4">
        <v>52.42</v>
      </c>
      <c r="I430" s="3">
        <v>80.52</v>
      </c>
      <c r="J430" t="s">
        <v>37</v>
      </c>
      <c r="K430" s="5">
        <v>5.0513699999999995</v>
      </c>
      <c r="L430" s="6" cm="1">
        <f t="array" ref="L430">_xlfn.PERCENTILE.INC(_xlfn._xlws.FILTER(tabla_base[Rendimiento_por_hectarea_ton], tabla_base[tipo_cultivo]=tabla_base[[#This Row],[tipo_cultivo]]), 0.75)</f>
        <v>5.1318025</v>
      </c>
      <c r="M430" s="7" t="str">
        <f>IF(tabla_base[[#This Row],[Rendimiento_por_hectarea_ton]]&gt;tabla_base[[#This Row],[percentil_0,75]],"Sí","No")</f>
        <v>No</v>
      </c>
      <c r="N430" s="3">
        <v>0.87</v>
      </c>
      <c r="O430" t="s">
        <v>44</v>
      </c>
    </row>
    <row r="431" spans="1:15" x14ac:dyDescent="0.35">
      <c r="A431" t="s">
        <v>463</v>
      </c>
      <c r="B431" s="1" t="s">
        <v>16</v>
      </c>
      <c r="C431" s="1" t="s">
        <v>23</v>
      </c>
      <c r="D431" s="1" t="s">
        <v>35</v>
      </c>
      <c r="E431" s="2">
        <v>44.2</v>
      </c>
      <c r="F431" s="3">
        <v>7.49</v>
      </c>
      <c r="G431" s="3">
        <v>26.36</v>
      </c>
      <c r="H431" s="4">
        <v>249.79</v>
      </c>
      <c r="I431" s="3">
        <v>85.69</v>
      </c>
      <c r="J431" t="s">
        <v>19</v>
      </c>
      <c r="K431" s="5">
        <v>3.5457399999999999</v>
      </c>
      <c r="L431" s="6" cm="1">
        <f t="array" ref="L431">_xlfn.PERCENTILE.INC(_xlfn._xlws.FILTER(tabla_base[Rendimiento_por_hectarea_ton], tabla_base[tipo_cultivo]=tabla_base[[#This Row],[tipo_cultivo]]), 0.75)</f>
        <v>5.1318025</v>
      </c>
      <c r="M431" s="7" t="str">
        <f>IF(tabla_base[[#This Row],[Rendimiento_por_hectarea_ton]]&gt;tabla_base[[#This Row],[percentil_0,75]],"Sí","No")</f>
        <v>No</v>
      </c>
      <c r="N431" s="3">
        <v>0.66</v>
      </c>
      <c r="O431" t="s">
        <v>44</v>
      </c>
    </row>
    <row r="432" spans="1:15" x14ac:dyDescent="0.35">
      <c r="A432" t="s">
        <v>464</v>
      </c>
      <c r="B432" s="1" t="s">
        <v>16</v>
      </c>
      <c r="C432" s="1" t="s">
        <v>17</v>
      </c>
      <c r="D432" s="1" t="s">
        <v>35</v>
      </c>
      <c r="E432" s="2">
        <v>13.65</v>
      </c>
      <c r="F432" s="3">
        <v>6.61</v>
      </c>
      <c r="G432" s="3">
        <v>15.64</v>
      </c>
      <c r="H432" s="4">
        <v>222.26</v>
      </c>
      <c r="I432" s="3">
        <v>64.430000000000007</v>
      </c>
      <c r="J432" t="s">
        <v>28</v>
      </c>
      <c r="K432" s="5">
        <v>4.0975799999999998</v>
      </c>
      <c r="L432" s="6" cm="1">
        <f t="array" ref="L432">_xlfn.PERCENTILE.INC(_xlfn._xlws.FILTER(tabla_base[Rendimiento_por_hectarea_ton], tabla_base[tipo_cultivo]=tabla_base[[#This Row],[tipo_cultivo]]), 0.75)</f>
        <v>5.1318025</v>
      </c>
      <c r="M432" s="7" t="str">
        <f>IF(tabla_base[[#This Row],[Rendimiento_por_hectarea_ton]]&gt;tabla_base[[#This Row],[percentil_0,75]],"Sí","No")</f>
        <v>No</v>
      </c>
      <c r="N432" s="3">
        <v>0.89</v>
      </c>
      <c r="O432" t="s">
        <v>26</v>
      </c>
    </row>
    <row r="433" spans="1:15" x14ac:dyDescent="0.35">
      <c r="A433" t="s">
        <v>465</v>
      </c>
      <c r="B433" s="1" t="s">
        <v>22</v>
      </c>
      <c r="C433" s="1" t="s">
        <v>23</v>
      </c>
      <c r="D433" s="1" t="s">
        <v>35</v>
      </c>
      <c r="E433" s="2">
        <v>44.64</v>
      </c>
      <c r="F433" s="3">
        <v>5.76</v>
      </c>
      <c r="G433" s="3">
        <v>23.37</v>
      </c>
      <c r="H433" s="4">
        <v>235.79</v>
      </c>
      <c r="I433" s="3">
        <v>59.45</v>
      </c>
      <c r="J433" t="s">
        <v>25</v>
      </c>
      <c r="K433" s="5">
        <v>4.8386899999999997</v>
      </c>
      <c r="L433" s="6" cm="1">
        <f t="array" ref="L433">_xlfn.PERCENTILE.INC(_xlfn._xlws.FILTER(tabla_base[Rendimiento_por_hectarea_ton], tabla_base[tipo_cultivo]=tabla_base[[#This Row],[tipo_cultivo]]), 0.75)</f>
        <v>5.1318025</v>
      </c>
      <c r="M433" s="7" t="str">
        <f>IF(tabla_base[[#This Row],[Rendimiento_por_hectarea_ton]]&gt;tabla_base[[#This Row],[percentil_0,75]],"Sí","No")</f>
        <v>No</v>
      </c>
      <c r="N433" s="3">
        <v>0.88</v>
      </c>
      <c r="O433" t="s">
        <v>20</v>
      </c>
    </row>
    <row r="434" spans="1:15" x14ac:dyDescent="0.35">
      <c r="A434" t="s">
        <v>466</v>
      </c>
      <c r="B434" s="1" t="s">
        <v>39</v>
      </c>
      <c r="C434" s="1" t="s">
        <v>40</v>
      </c>
      <c r="D434" s="1" t="s">
        <v>33</v>
      </c>
      <c r="E434" s="2">
        <v>19.64</v>
      </c>
      <c r="F434" s="3">
        <v>5.51</v>
      </c>
      <c r="G434" s="3">
        <v>17.850000000000001</v>
      </c>
      <c r="H434" s="4">
        <v>65.989999999999995</v>
      </c>
      <c r="I434" s="3">
        <v>59.96</v>
      </c>
      <c r="J434" t="s">
        <v>37</v>
      </c>
      <c r="K434" s="5">
        <v>2.1563400000000001</v>
      </c>
      <c r="L434" s="6" cm="1">
        <f t="array" ref="L434">_xlfn.PERCENTILE.INC(_xlfn._xlws.FILTER(tabla_base[Rendimiento_por_hectarea_ton], tabla_base[tipo_cultivo]=tabla_base[[#This Row],[tipo_cultivo]]), 0.75)</f>
        <v>5.1635450000000001</v>
      </c>
      <c r="M434" s="7" t="str">
        <f>IF(tabla_base[[#This Row],[Rendimiento_por_hectarea_ton]]&gt;tabla_base[[#This Row],[percentil_0,75]],"Sí","No")</f>
        <v>No</v>
      </c>
      <c r="N434" s="3">
        <v>0.6</v>
      </c>
      <c r="O434" t="s">
        <v>20</v>
      </c>
    </row>
    <row r="435" spans="1:15" x14ac:dyDescent="0.35">
      <c r="A435" t="s">
        <v>467</v>
      </c>
      <c r="B435" s="1" t="s">
        <v>22</v>
      </c>
      <c r="C435" s="1" t="s">
        <v>23</v>
      </c>
      <c r="D435" s="1" t="s">
        <v>24</v>
      </c>
      <c r="E435" s="2">
        <v>38.82</v>
      </c>
      <c r="F435" s="3">
        <v>7.2</v>
      </c>
      <c r="G435" s="3">
        <v>23.3</v>
      </c>
      <c r="H435" s="4">
        <v>94.89</v>
      </c>
      <c r="I435" s="3">
        <v>70.89</v>
      </c>
      <c r="J435" t="s">
        <v>19</v>
      </c>
      <c r="K435" s="5">
        <v>4.7945799999999998</v>
      </c>
      <c r="L435" s="6" cm="1">
        <f t="array" ref="L435">_xlfn.PERCENTILE.INC(_xlfn._xlws.FILTER(tabla_base[Rendimiento_por_hectarea_ton], tabla_base[tipo_cultivo]=tabla_base[[#This Row],[tipo_cultivo]]), 0.75)</f>
        <v>5.3984449999999997</v>
      </c>
      <c r="M435" s="7" t="str">
        <f>IF(tabla_base[[#This Row],[Rendimiento_por_hectarea_ton]]&gt;tabla_base[[#This Row],[percentil_0,75]],"Sí","No")</f>
        <v>No</v>
      </c>
      <c r="N435" s="3">
        <v>0.54</v>
      </c>
      <c r="O435" t="s">
        <v>19</v>
      </c>
    </row>
    <row r="436" spans="1:15" x14ac:dyDescent="0.35">
      <c r="A436" t="s">
        <v>468</v>
      </c>
      <c r="B436" s="1" t="s">
        <v>16</v>
      </c>
      <c r="C436" s="1" t="s">
        <v>17</v>
      </c>
      <c r="D436" s="1" t="s">
        <v>35</v>
      </c>
      <c r="E436" s="2">
        <v>41.81</v>
      </c>
      <c r="F436" s="3">
        <v>6.32</v>
      </c>
      <c r="G436" s="3">
        <v>30.24</v>
      </c>
      <c r="H436" s="4">
        <v>80.31</v>
      </c>
      <c r="I436" s="3">
        <v>58.44</v>
      </c>
      <c r="J436" t="s">
        <v>37</v>
      </c>
      <c r="K436" s="5">
        <v>2.1785399999999999</v>
      </c>
      <c r="L436" s="6" cm="1">
        <f t="array" ref="L436">_xlfn.PERCENTILE.INC(_xlfn._xlws.FILTER(tabla_base[Rendimiento_por_hectarea_ton], tabla_base[tipo_cultivo]=tabla_base[[#This Row],[tipo_cultivo]]), 0.75)</f>
        <v>5.1318025</v>
      </c>
      <c r="M436" s="7" t="str">
        <f>IF(tabla_base[[#This Row],[Rendimiento_por_hectarea_ton]]&gt;tabla_base[[#This Row],[percentil_0,75]],"Sí","No")</f>
        <v>No</v>
      </c>
      <c r="N436" s="3">
        <v>0.69</v>
      </c>
      <c r="O436" t="s">
        <v>44</v>
      </c>
    </row>
    <row r="437" spans="1:15" x14ac:dyDescent="0.35">
      <c r="A437" t="s">
        <v>469</v>
      </c>
      <c r="B437" s="1" t="s">
        <v>22</v>
      </c>
      <c r="C437" s="1" t="s">
        <v>30</v>
      </c>
      <c r="D437" s="1" t="s">
        <v>33</v>
      </c>
      <c r="E437" s="2">
        <v>39.950000000000003</v>
      </c>
      <c r="F437" s="3">
        <v>6.29</v>
      </c>
      <c r="G437" s="3">
        <v>15.21</v>
      </c>
      <c r="H437" s="4">
        <v>78.67</v>
      </c>
      <c r="I437" s="3">
        <v>85.86</v>
      </c>
      <c r="J437" t="s">
        <v>19</v>
      </c>
      <c r="K437" s="5">
        <v>2.9691700000000001</v>
      </c>
      <c r="L437" s="6" cm="1">
        <f t="array" ref="L437">_xlfn.PERCENTILE.INC(_xlfn._xlws.FILTER(tabla_base[Rendimiento_por_hectarea_ton], tabla_base[tipo_cultivo]=tabla_base[[#This Row],[tipo_cultivo]]), 0.75)</f>
        <v>5.1635450000000001</v>
      </c>
      <c r="M437" s="7" t="str">
        <f>IF(tabla_base[[#This Row],[Rendimiento_por_hectarea_ton]]&gt;tabla_base[[#This Row],[percentil_0,75]],"Sí","No")</f>
        <v>No</v>
      </c>
      <c r="N437" s="3">
        <v>0.72</v>
      </c>
      <c r="O437" t="s">
        <v>44</v>
      </c>
    </row>
    <row r="438" spans="1:15" x14ac:dyDescent="0.35">
      <c r="A438" t="s">
        <v>470</v>
      </c>
      <c r="B438" s="1" t="s">
        <v>16</v>
      </c>
      <c r="C438" s="1" t="s">
        <v>17</v>
      </c>
      <c r="D438" s="1" t="s">
        <v>24</v>
      </c>
      <c r="E438" s="2">
        <v>13.52</v>
      </c>
      <c r="F438" s="3">
        <v>6.09</v>
      </c>
      <c r="G438" s="3">
        <v>25.69</v>
      </c>
      <c r="H438" s="4">
        <v>147.71</v>
      </c>
      <c r="I438" s="3">
        <v>43.88</v>
      </c>
      <c r="J438" t="s">
        <v>37</v>
      </c>
      <c r="K438" s="5">
        <v>2.1377800000000002</v>
      </c>
      <c r="L438" s="6" cm="1">
        <f t="array" ref="L438">_xlfn.PERCENTILE.INC(_xlfn._xlws.FILTER(tabla_base[Rendimiento_por_hectarea_ton], tabla_base[tipo_cultivo]=tabla_base[[#This Row],[tipo_cultivo]]), 0.75)</f>
        <v>5.3984449999999997</v>
      </c>
      <c r="M438" s="7" t="str">
        <f>IF(tabla_base[[#This Row],[Rendimiento_por_hectarea_ton]]&gt;tabla_base[[#This Row],[percentil_0,75]],"Sí","No")</f>
        <v>No</v>
      </c>
      <c r="N438" s="3">
        <v>0.69</v>
      </c>
      <c r="O438" t="s">
        <v>26</v>
      </c>
    </row>
    <row r="439" spans="1:15" x14ac:dyDescent="0.35">
      <c r="A439" t="s">
        <v>471</v>
      </c>
      <c r="B439" s="1" t="s">
        <v>22</v>
      </c>
      <c r="C439" s="1" t="s">
        <v>23</v>
      </c>
      <c r="D439" s="1" t="s">
        <v>31</v>
      </c>
      <c r="E439" s="2">
        <v>25.54</v>
      </c>
      <c r="F439" s="3">
        <v>6.7</v>
      </c>
      <c r="G439" s="3">
        <v>15.97</v>
      </c>
      <c r="H439" s="4">
        <v>144.35</v>
      </c>
      <c r="I439" s="3">
        <v>50.09</v>
      </c>
      <c r="J439" t="s">
        <v>25</v>
      </c>
      <c r="K439" s="5">
        <v>3.3484699999999998</v>
      </c>
      <c r="L439" s="6" cm="1">
        <f t="array" ref="L439">_xlfn.PERCENTILE.INC(_xlfn._xlws.FILTER(tabla_base[Rendimiento_por_hectarea_ton], tabla_base[tipo_cultivo]=tabla_base[[#This Row],[tipo_cultivo]]), 0.75)</f>
        <v>5.1742550000000005</v>
      </c>
      <c r="M439" s="7" t="str">
        <f>IF(tabla_base[[#This Row],[Rendimiento_por_hectarea_ton]]&gt;tabla_base[[#This Row],[percentil_0,75]],"Sí","No")</f>
        <v>No</v>
      </c>
      <c r="N439" s="3">
        <v>0.64</v>
      </c>
      <c r="O439" t="s">
        <v>20</v>
      </c>
    </row>
    <row r="440" spans="1:15" x14ac:dyDescent="0.35">
      <c r="A440" t="s">
        <v>472</v>
      </c>
      <c r="B440" s="1" t="s">
        <v>16</v>
      </c>
      <c r="C440" s="1" t="s">
        <v>23</v>
      </c>
      <c r="D440" s="1" t="s">
        <v>35</v>
      </c>
      <c r="E440" s="2">
        <v>11.54</v>
      </c>
      <c r="F440" s="3">
        <v>6.53</v>
      </c>
      <c r="G440" s="3">
        <v>31.31</v>
      </c>
      <c r="H440" s="4">
        <v>130.66999999999999</v>
      </c>
      <c r="I440" s="3">
        <v>71.34</v>
      </c>
      <c r="J440" t="s">
        <v>19</v>
      </c>
      <c r="K440" s="5">
        <v>3.2934699999999997</v>
      </c>
      <c r="L440" s="6" cm="1">
        <f t="array" ref="L440">_xlfn.PERCENTILE.INC(_xlfn._xlws.FILTER(tabla_base[Rendimiento_por_hectarea_ton], tabla_base[tipo_cultivo]=tabla_base[[#This Row],[tipo_cultivo]]), 0.75)</f>
        <v>5.1318025</v>
      </c>
      <c r="M440" s="7" t="str">
        <f>IF(tabla_base[[#This Row],[Rendimiento_por_hectarea_ton]]&gt;tabla_base[[#This Row],[percentil_0,75]],"Sí","No")</f>
        <v>No</v>
      </c>
      <c r="N440" s="3">
        <v>0.61</v>
      </c>
      <c r="O440" t="s">
        <v>44</v>
      </c>
    </row>
    <row r="441" spans="1:15" x14ac:dyDescent="0.35">
      <c r="A441" t="s">
        <v>473</v>
      </c>
      <c r="B441" s="1" t="s">
        <v>16</v>
      </c>
      <c r="C441" s="1" t="s">
        <v>23</v>
      </c>
      <c r="D441" s="1" t="s">
        <v>18</v>
      </c>
      <c r="E441" s="2">
        <v>33.03</v>
      </c>
      <c r="F441" s="3">
        <v>6.06</v>
      </c>
      <c r="G441" s="3">
        <v>27.48</v>
      </c>
      <c r="H441" s="4">
        <v>60.98</v>
      </c>
      <c r="I441" s="3">
        <v>84.27</v>
      </c>
      <c r="J441" t="s">
        <v>19</v>
      </c>
      <c r="K441" s="5">
        <v>5.8361400000000003</v>
      </c>
      <c r="L441" s="6" cm="1">
        <f t="array" ref="L441">_xlfn.PERCENTILE.INC(_xlfn._xlws.FILTER(tabla_base[Rendimiento_por_hectarea_ton], tabla_base[tipo_cultivo]=tabla_base[[#This Row],[tipo_cultivo]]), 0.75)</f>
        <v>5.2079399999999998</v>
      </c>
      <c r="M441" s="7" t="str">
        <f>IF(tabla_base[[#This Row],[Rendimiento_por_hectarea_ton]]&gt;tabla_base[[#This Row],[percentil_0,75]],"Sí","No")</f>
        <v>Sí</v>
      </c>
      <c r="N441" s="3">
        <v>0.37</v>
      </c>
      <c r="O441" t="s">
        <v>19</v>
      </c>
    </row>
    <row r="442" spans="1:15" x14ac:dyDescent="0.35">
      <c r="A442" t="s">
        <v>474</v>
      </c>
      <c r="B442" s="1" t="s">
        <v>22</v>
      </c>
      <c r="C442" s="1" t="s">
        <v>30</v>
      </c>
      <c r="D442" s="1" t="s">
        <v>35</v>
      </c>
      <c r="E442" s="2">
        <v>32.24</v>
      </c>
      <c r="F442" s="3">
        <v>7.27</v>
      </c>
      <c r="G442" s="3">
        <v>21.36</v>
      </c>
      <c r="H442" s="4">
        <v>262.89</v>
      </c>
      <c r="I442" s="3">
        <v>64.11</v>
      </c>
      <c r="J442" t="s">
        <v>19</v>
      </c>
      <c r="K442" s="5">
        <v>4.3498700000000001</v>
      </c>
      <c r="L442" s="6" cm="1">
        <f t="array" ref="L442">_xlfn.PERCENTILE.INC(_xlfn._xlws.FILTER(tabla_base[Rendimiento_por_hectarea_ton], tabla_base[tipo_cultivo]=tabla_base[[#This Row],[tipo_cultivo]]), 0.75)</f>
        <v>5.1318025</v>
      </c>
      <c r="M442" s="7" t="str">
        <f>IF(tabla_base[[#This Row],[Rendimiento_por_hectarea_ton]]&gt;tabla_base[[#This Row],[percentil_0,75]],"Sí","No")</f>
        <v>No</v>
      </c>
      <c r="N442" s="3">
        <v>0.84</v>
      </c>
      <c r="O442" t="s">
        <v>19</v>
      </c>
    </row>
    <row r="443" spans="1:15" x14ac:dyDescent="0.35">
      <c r="A443" t="s">
        <v>475</v>
      </c>
      <c r="B443" s="1" t="s">
        <v>16</v>
      </c>
      <c r="C443" s="1" t="s">
        <v>23</v>
      </c>
      <c r="D443" s="1" t="s">
        <v>33</v>
      </c>
      <c r="E443" s="2">
        <v>36.5</v>
      </c>
      <c r="F443" s="3">
        <v>6.74</v>
      </c>
      <c r="G443" s="3">
        <v>16.2</v>
      </c>
      <c r="H443" s="4">
        <v>143.63</v>
      </c>
      <c r="I443" s="3">
        <v>54.83</v>
      </c>
      <c r="J443" t="s">
        <v>25</v>
      </c>
      <c r="K443" s="5">
        <v>3.7749000000000001</v>
      </c>
      <c r="L443" s="6" cm="1">
        <f t="array" ref="L443">_xlfn.PERCENTILE.INC(_xlfn._xlws.FILTER(tabla_base[Rendimiento_por_hectarea_ton], tabla_base[tipo_cultivo]=tabla_base[[#This Row],[tipo_cultivo]]), 0.75)</f>
        <v>5.1635450000000001</v>
      </c>
      <c r="M443" s="7" t="str">
        <f>IF(tabla_base[[#This Row],[Rendimiento_por_hectarea_ton]]&gt;tabla_base[[#This Row],[percentil_0,75]],"Sí","No")</f>
        <v>No</v>
      </c>
      <c r="N443" s="3">
        <v>0.48</v>
      </c>
      <c r="O443" t="s">
        <v>26</v>
      </c>
    </row>
    <row r="444" spans="1:15" x14ac:dyDescent="0.35">
      <c r="A444" t="s">
        <v>476</v>
      </c>
      <c r="B444" s="1" t="s">
        <v>39</v>
      </c>
      <c r="C444" s="1" t="s">
        <v>40</v>
      </c>
      <c r="D444" s="1" t="s">
        <v>33</v>
      </c>
      <c r="E444" s="2">
        <v>32.68</v>
      </c>
      <c r="F444" s="3">
        <v>6.08</v>
      </c>
      <c r="G444" s="3">
        <v>15.47</v>
      </c>
      <c r="H444" s="4">
        <v>261.73</v>
      </c>
      <c r="I444" s="3">
        <v>56.56</v>
      </c>
      <c r="J444" t="s">
        <v>28</v>
      </c>
      <c r="K444" s="5">
        <v>2.88978</v>
      </c>
      <c r="L444" s="6" cm="1">
        <f t="array" ref="L444">_xlfn.PERCENTILE.INC(_xlfn._xlws.FILTER(tabla_base[Rendimiento_por_hectarea_ton], tabla_base[tipo_cultivo]=tabla_base[[#This Row],[tipo_cultivo]]), 0.75)</f>
        <v>5.1635450000000001</v>
      </c>
      <c r="M444" s="7" t="str">
        <f>IF(tabla_base[[#This Row],[Rendimiento_por_hectarea_ton]]&gt;tabla_base[[#This Row],[percentil_0,75]],"Sí","No")</f>
        <v>No</v>
      </c>
      <c r="N444" s="3">
        <v>0.72</v>
      </c>
      <c r="O444" t="s">
        <v>26</v>
      </c>
    </row>
    <row r="445" spans="1:15" x14ac:dyDescent="0.35">
      <c r="A445" t="s">
        <v>477</v>
      </c>
      <c r="B445" s="1" t="s">
        <v>22</v>
      </c>
      <c r="C445" s="1" t="s">
        <v>23</v>
      </c>
      <c r="D445" s="1" t="s">
        <v>18</v>
      </c>
      <c r="E445" s="2">
        <v>43.38</v>
      </c>
      <c r="F445" s="3">
        <v>5.6</v>
      </c>
      <c r="G445" s="3">
        <v>34.840000000000003</v>
      </c>
      <c r="H445" s="4">
        <v>284.57</v>
      </c>
      <c r="I445" s="3">
        <v>46.28</v>
      </c>
      <c r="J445" t="s">
        <v>25</v>
      </c>
      <c r="K445" s="5">
        <v>3.2458499999999999</v>
      </c>
      <c r="L445" s="6" cm="1">
        <f t="array" ref="L445">_xlfn.PERCENTILE.INC(_xlfn._xlws.FILTER(tabla_base[Rendimiento_por_hectarea_ton], tabla_base[tipo_cultivo]=tabla_base[[#This Row],[tipo_cultivo]]), 0.75)</f>
        <v>5.2079399999999998</v>
      </c>
      <c r="M445" s="7" t="str">
        <f>IF(tabla_base[[#This Row],[Rendimiento_por_hectarea_ton]]&gt;tabla_base[[#This Row],[percentil_0,75]],"Sí","No")</f>
        <v>No</v>
      </c>
      <c r="N445" s="3">
        <v>0.51</v>
      </c>
      <c r="O445" t="s">
        <v>20</v>
      </c>
    </row>
    <row r="446" spans="1:15" x14ac:dyDescent="0.35">
      <c r="A446" t="s">
        <v>478</v>
      </c>
      <c r="B446" s="1" t="s">
        <v>22</v>
      </c>
      <c r="C446" s="1" t="s">
        <v>30</v>
      </c>
      <c r="D446" s="1" t="s">
        <v>24</v>
      </c>
      <c r="E446" s="2">
        <v>25.69</v>
      </c>
      <c r="F446" s="3">
        <v>6.77</v>
      </c>
      <c r="G446" s="3">
        <v>20.440000000000001</v>
      </c>
      <c r="H446" s="4">
        <v>245.32</v>
      </c>
      <c r="I446" s="3">
        <v>44</v>
      </c>
      <c r="J446" t="s">
        <v>19</v>
      </c>
      <c r="K446" s="5">
        <v>4.4375799999999996</v>
      </c>
      <c r="L446" s="6" cm="1">
        <f t="array" ref="L446">_xlfn.PERCENTILE.INC(_xlfn._xlws.FILTER(tabla_base[Rendimiento_por_hectarea_ton], tabla_base[tipo_cultivo]=tabla_base[[#This Row],[tipo_cultivo]]), 0.75)</f>
        <v>5.3984449999999997</v>
      </c>
      <c r="M446" s="7" t="str">
        <f>IF(tabla_base[[#This Row],[Rendimiento_por_hectarea_ton]]&gt;tabla_base[[#This Row],[percentil_0,75]],"Sí","No")</f>
        <v>No</v>
      </c>
      <c r="N446" s="3">
        <v>0.73</v>
      </c>
      <c r="O446" t="s">
        <v>44</v>
      </c>
    </row>
    <row r="447" spans="1:15" x14ac:dyDescent="0.35">
      <c r="A447" t="s">
        <v>479</v>
      </c>
      <c r="B447" s="1" t="s">
        <v>22</v>
      </c>
      <c r="C447" s="1" t="s">
        <v>23</v>
      </c>
      <c r="D447" s="1" t="s">
        <v>33</v>
      </c>
      <c r="E447" s="2">
        <v>39.89</v>
      </c>
      <c r="F447" s="3">
        <v>7.02</v>
      </c>
      <c r="G447" s="3">
        <v>33.43</v>
      </c>
      <c r="H447" s="4">
        <v>198.8</v>
      </c>
      <c r="I447" s="3">
        <v>47.64</v>
      </c>
      <c r="J447" t="s">
        <v>37</v>
      </c>
      <c r="K447" s="5">
        <v>4.24857</v>
      </c>
      <c r="L447" s="6" cm="1">
        <f t="array" ref="L447">_xlfn.PERCENTILE.INC(_xlfn._xlws.FILTER(tabla_base[Rendimiento_por_hectarea_ton], tabla_base[tipo_cultivo]=tabla_base[[#This Row],[tipo_cultivo]]), 0.75)</f>
        <v>5.1635450000000001</v>
      </c>
      <c r="M447" s="7" t="str">
        <f>IF(tabla_base[[#This Row],[Rendimiento_por_hectarea_ton]]&gt;tabla_base[[#This Row],[percentil_0,75]],"Sí","No")</f>
        <v>No</v>
      </c>
      <c r="N447" s="3">
        <v>0.47</v>
      </c>
      <c r="O447" t="s">
        <v>19</v>
      </c>
    </row>
    <row r="448" spans="1:15" x14ac:dyDescent="0.35">
      <c r="A448" t="s">
        <v>480</v>
      </c>
      <c r="B448" s="1" t="s">
        <v>16</v>
      </c>
      <c r="C448" s="1" t="s">
        <v>23</v>
      </c>
      <c r="D448" s="1" t="s">
        <v>18</v>
      </c>
      <c r="E448" s="2">
        <v>10.45</v>
      </c>
      <c r="F448" s="3">
        <v>6.5</v>
      </c>
      <c r="G448" s="3">
        <v>29.51</v>
      </c>
      <c r="H448" s="4">
        <v>172.86</v>
      </c>
      <c r="I448" s="3">
        <v>86.28</v>
      </c>
      <c r="J448" t="s">
        <v>37</v>
      </c>
      <c r="K448" s="5">
        <v>3.6351499999999999</v>
      </c>
      <c r="L448" s="6" cm="1">
        <f t="array" ref="L448">_xlfn.PERCENTILE.INC(_xlfn._xlws.FILTER(tabla_base[Rendimiento_por_hectarea_ton], tabla_base[tipo_cultivo]=tabla_base[[#This Row],[tipo_cultivo]]), 0.75)</f>
        <v>5.2079399999999998</v>
      </c>
      <c r="M448" s="7" t="str">
        <f>IF(tabla_base[[#This Row],[Rendimiento_por_hectarea_ton]]&gt;tabla_base[[#This Row],[percentil_0,75]],"Sí","No")</f>
        <v>No</v>
      </c>
      <c r="N448" s="3">
        <v>0.76</v>
      </c>
      <c r="O448" t="s">
        <v>26</v>
      </c>
    </row>
    <row r="449" spans="1:15" x14ac:dyDescent="0.35">
      <c r="A449" t="s">
        <v>481</v>
      </c>
      <c r="B449" s="1" t="s">
        <v>16</v>
      </c>
      <c r="C449" s="1" t="s">
        <v>23</v>
      </c>
      <c r="D449" s="1" t="s">
        <v>33</v>
      </c>
      <c r="E449" s="2">
        <v>43.5</v>
      </c>
      <c r="F449" s="3">
        <v>7.04</v>
      </c>
      <c r="G449" s="3">
        <v>30.03</v>
      </c>
      <c r="H449" s="4">
        <v>137.13999999999999</v>
      </c>
      <c r="I449" s="3">
        <v>75.459999999999994</v>
      </c>
      <c r="J449" t="s">
        <v>37</v>
      </c>
      <c r="K449" s="5">
        <v>2.9871699999999999</v>
      </c>
      <c r="L449" s="6" cm="1">
        <f t="array" ref="L449">_xlfn.PERCENTILE.INC(_xlfn._xlws.FILTER(tabla_base[Rendimiento_por_hectarea_ton], tabla_base[tipo_cultivo]=tabla_base[[#This Row],[tipo_cultivo]]), 0.75)</f>
        <v>5.1635450000000001</v>
      </c>
      <c r="M449" s="7" t="str">
        <f>IF(tabla_base[[#This Row],[Rendimiento_por_hectarea_ton]]&gt;tabla_base[[#This Row],[percentil_0,75]],"Sí","No")</f>
        <v>No</v>
      </c>
      <c r="N449" s="3">
        <v>0.33</v>
      </c>
      <c r="O449" t="s">
        <v>20</v>
      </c>
    </row>
    <row r="450" spans="1:15" x14ac:dyDescent="0.35">
      <c r="A450" t="s">
        <v>482</v>
      </c>
      <c r="B450" s="1" t="s">
        <v>16</v>
      </c>
      <c r="C450" s="1" t="s">
        <v>23</v>
      </c>
      <c r="D450" s="1" t="s">
        <v>31</v>
      </c>
      <c r="E450" s="2">
        <v>31.19</v>
      </c>
      <c r="F450" s="3">
        <v>7.39</v>
      </c>
      <c r="G450" s="3">
        <v>17.95</v>
      </c>
      <c r="H450" s="4">
        <v>111.85</v>
      </c>
      <c r="I450" s="3">
        <v>68.92</v>
      </c>
      <c r="J450" t="s">
        <v>25</v>
      </c>
      <c r="K450" s="5">
        <v>5.6675300000000002</v>
      </c>
      <c r="L450" s="6" cm="1">
        <f t="array" ref="L450">_xlfn.PERCENTILE.INC(_xlfn._xlws.FILTER(tabla_base[Rendimiento_por_hectarea_ton], tabla_base[tipo_cultivo]=tabla_base[[#This Row],[tipo_cultivo]]), 0.75)</f>
        <v>5.1742550000000005</v>
      </c>
      <c r="M450" s="7" t="str">
        <f>IF(tabla_base[[#This Row],[Rendimiento_por_hectarea_ton]]&gt;tabla_base[[#This Row],[percentil_0,75]],"Sí","No")</f>
        <v>Sí</v>
      </c>
      <c r="N450" s="3">
        <v>0.64</v>
      </c>
      <c r="O450" t="s">
        <v>44</v>
      </c>
    </row>
    <row r="451" spans="1:15" x14ac:dyDescent="0.35">
      <c r="A451" t="s">
        <v>483</v>
      </c>
      <c r="B451" s="1" t="s">
        <v>22</v>
      </c>
      <c r="C451" s="1" t="s">
        <v>23</v>
      </c>
      <c r="D451" s="1" t="s">
        <v>35</v>
      </c>
      <c r="E451" s="2">
        <v>39.04</v>
      </c>
      <c r="F451" s="3">
        <v>6.01</v>
      </c>
      <c r="G451" s="3">
        <v>21.04</v>
      </c>
      <c r="H451" s="4">
        <v>291.92</v>
      </c>
      <c r="I451" s="3">
        <v>72.92</v>
      </c>
      <c r="J451" t="s">
        <v>37</v>
      </c>
      <c r="K451" s="5">
        <v>2.4371</v>
      </c>
      <c r="L451" s="6" cm="1">
        <f t="array" ref="L451">_xlfn.PERCENTILE.INC(_xlfn._xlws.FILTER(tabla_base[Rendimiento_por_hectarea_ton], tabla_base[tipo_cultivo]=tabla_base[[#This Row],[tipo_cultivo]]), 0.75)</f>
        <v>5.1318025</v>
      </c>
      <c r="M451" s="7" t="str">
        <f>IF(tabla_base[[#This Row],[Rendimiento_por_hectarea_ton]]&gt;tabla_base[[#This Row],[percentil_0,75]],"Sí","No")</f>
        <v>No</v>
      </c>
      <c r="N451" s="3">
        <v>0.66</v>
      </c>
      <c r="O451" t="s">
        <v>19</v>
      </c>
    </row>
    <row r="452" spans="1:15" x14ac:dyDescent="0.35">
      <c r="A452" t="s">
        <v>484</v>
      </c>
      <c r="B452" s="1" t="s">
        <v>22</v>
      </c>
      <c r="C452" s="1" t="s">
        <v>23</v>
      </c>
      <c r="D452" s="1" t="s">
        <v>31</v>
      </c>
      <c r="E452" s="2">
        <v>10.220000000000001</v>
      </c>
      <c r="F452" s="3">
        <v>5.84</v>
      </c>
      <c r="G452" s="3">
        <v>24.83</v>
      </c>
      <c r="H452" s="4">
        <v>74.22</v>
      </c>
      <c r="I452" s="3">
        <v>78.69</v>
      </c>
      <c r="J452" t="s">
        <v>19</v>
      </c>
      <c r="K452" s="5">
        <v>3.4986100000000002</v>
      </c>
      <c r="L452" s="6" cm="1">
        <f t="array" ref="L452">_xlfn.PERCENTILE.INC(_xlfn._xlws.FILTER(tabla_base[Rendimiento_por_hectarea_ton], tabla_base[tipo_cultivo]=tabla_base[[#This Row],[tipo_cultivo]]), 0.75)</f>
        <v>5.1742550000000005</v>
      </c>
      <c r="M452" s="7" t="str">
        <f>IF(tabla_base[[#This Row],[Rendimiento_por_hectarea_ton]]&gt;tabla_base[[#This Row],[percentil_0,75]],"Sí","No")</f>
        <v>No</v>
      </c>
      <c r="N452" s="3">
        <v>0.88</v>
      </c>
      <c r="O452" t="s">
        <v>26</v>
      </c>
    </row>
    <row r="453" spans="1:15" x14ac:dyDescent="0.35">
      <c r="A453" t="s">
        <v>485</v>
      </c>
      <c r="B453" s="1" t="s">
        <v>22</v>
      </c>
      <c r="C453" s="1" t="s">
        <v>23</v>
      </c>
      <c r="D453" s="1" t="s">
        <v>24</v>
      </c>
      <c r="E453" s="2">
        <v>38.5</v>
      </c>
      <c r="F453" s="3">
        <v>5.87</v>
      </c>
      <c r="G453" s="3">
        <v>16.18</v>
      </c>
      <c r="H453" s="4">
        <v>95.68</v>
      </c>
      <c r="I453" s="3">
        <v>77.959999999999994</v>
      </c>
      <c r="J453" t="s">
        <v>19</v>
      </c>
      <c r="K453" s="5">
        <v>4.5457299999999998</v>
      </c>
      <c r="L453" s="6" cm="1">
        <f t="array" ref="L453">_xlfn.PERCENTILE.INC(_xlfn._xlws.FILTER(tabla_base[Rendimiento_por_hectarea_ton], tabla_base[tipo_cultivo]=tabla_base[[#This Row],[tipo_cultivo]]), 0.75)</f>
        <v>5.3984449999999997</v>
      </c>
      <c r="M453" s="7" t="str">
        <f>IF(tabla_base[[#This Row],[Rendimiento_por_hectarea_ton]]&gt;tabla_base[[#This Row],[percentil_0,75]],"Sí","No")</f>
        <v>No</v>
      </c>
      <c r="N453" s="3">
        <v>0.3</v>
      </c>
      <c r="O453" t="s">
        <v>26</v>
      </c>
    </row>
    <row r="454" spans="1:15" x14ac:dyDescent="0.35">
      <c r="A454" t="s">
        <v>486</v>
      </c>
      <c r="B454" s="1" t="s">
        <v>16</v>
      </c>
      <c r="C454" s="1" t="s">
        <v>17</v>
      </c>
      <c r="D454" s="1" t="s">
        <v>24</v>
      </c>
      <c r="E454" s="2">
        <v>18.22</v>
      </c>
      <c r="F454" s="3">
        <v>6.47</v>
      </c>
      <c r="G454" s="3">
        <v>30.21</v>
      </c>
      <c r="H454" s="4">
        <v>52.38</v>
      </c>
      <c r="I454" s="3">
        <v>53.3</v>
      </c>
      <c r="J454" t="s">
        <v>28</v>
      </c>
      <c r="K454" s="5">
        <v>4.0803000000000003</v>
      </c>
      <c r="L454" s="6" cm="1">
        <f t="array" ref="L454">_xlfn.PERCENTILE.INC(_xlfn._xlws.FILTER(tabla_base[Rendimiento_por_hectarea_ton], tabla_base[tipo_cultivo]=tabla_base[[#This Row],[tipo_cultivo]]), 0.75)</f>
        <v>5.3984449999999997</v>
      </c>
      <c r="M454" s="7" t="str">
        <f>IF(tabla_base[[#This Row],[Rendimiento_por_hectarea_ton]]&gt;tabla_base[[#This Row],[percentil_0,75]],"Sí","No")</f>
        <v>No</v>
      </c>
      <c r="N454" s="3">
        <v>0.52</v>
      </c>
      <c r="O454" t="s">
        <v>26</v>
      </c>
    </row>
    <row r="455" spans="1:15" x14ac:dyDescent="0.35">
      <c r="A455" t="s">
        <v>487</v>
      </c>
      <c r="B455" s="1" t="s">
        <v>22</v>
      </c>
      <c r="C455" s="1" t="s">
        <v>30</v>
      </c>
      <c r="D455" s="1" t="s">
        <v>31</v>
      </c>
      <c r="E455" s="2">
        <v>33.869999999999997</v>
      </c>
      <c r="F455" s="3">
        <v>6.19</v>
      </c>
      <c r="G455" s="3">
        <v>21.3</v>
      </c>
      <c r="H455" s="4">
        <v>109.9</v>
      </c>
      <c r="I455" s="3">
        <v>58.06</v>
      </c>
      <c r="J455" t="s">
        <v>28</v>
      </c>
      <c r="K455" s="5">
        <v>5.48217</v>
      </c>
      <c r="L455" s="6" cm="1">
        <f t="array" ref="L455">_xlfn.PERCENTILE.INC(_xlfn._xlws.FILTER(tabla_base[Rendimiento_por_hectarea_ton], tabla_base[tipo_cultivo]=tabla_base[[#This Row],[tipo_cultivo]]), 0.75)</f>
        <v>5.1742550000000005</v>
      </c>
      <c r="M455" s="7" t="str">
        <f>IF(tabla_base[[#This Row],[Rendimiento_por_hectarea_ton]]&gt;tabla_base[[#This Row],[percentil_0,75]],"Sí","No")</f>
        <v>Sí</v>
      </c>
      <c r="N455" s="3">
        <v>0.76</v>
      </c>
      <c r="O455" t="s">
        <v>44</v>
      </c>
    </row>
    <row r="456" spans="1:15" x14ac:dyDescent="0.35">
      <c r="A456" t="s">
        <v>488</v>
      </c>
      <c r="B456" s="1" t="s">
        <v>39</v>
      </c>
      <c r="C456" s="1" t="s">
        <v>40</v>
      </c>
      <c r="D456" s="1" t="s">
        <v>31</v>
      </c>
      <c r="E456" s="2">
        <v>43.29</v>
      </c>
      <c r="F456" s="3">
        <v>7</v>
      </c>
      <c r="G456" s="3">
        <v>19.97</v>
      </c>
      <c r="H456" s="4">
        <v>162.97999999999999</v>
      </c>
      <c r="I456" s="3">
        <v>74.31</v>
      </c>
      <c r="J456" t="s">
        <v>19</v>
      </c>
      <c r="K456" s="5">
        <v>2.0665200000000001</v>
      </c>
      <c r="L456" s="6" cm="1">
        <f t="array" ref="L456">_xlfn.PERCENTILE.INC(_xlfn._xlws.FILTER(tabla_base[Rendimiento_por_hectarea_ton], tabla_base[tipo_cultivo]=tabla_base[[#This Row],[tipo_cultivo]]), 0.75)</f>
        <v>5.1742550000000005</v>
      </c>
      <c r="M456" s="7" t="str">
        <f>IF(tabla_base[[#This Row],[Rendimiento_por_hectarea_ton]]&gt;tabla_base[[#This Row],[percentil_0,75]],"Sí","No")</f>
        <v>No</v>
      </c>
      <c r="N456" s="3">
        <v>0.68</v>
      </c>
      <c r="O456" t="s">
        <v>19</v>
      </c>
    </row>
    <row r="457" spans="1:15" x14ac:dyDescent="0.35">
      <c r="A457" t="s">
        <v>489</v>
      </c>
      <c r="B457" s="1" t="s">
        <v>16</v>
      </c>
      <c r="C457" s="1" t="s">
        <v>23</v>
      </c>
      <c r="D457" s="1" t="s">
        <v>24</v>
      </c>
      <c r="E457" s="2">
        <v>26.96</v>
      </c>
      <c r="F457" s="3">
        <v>6.98</v>
      </c>
      <c r="G457" s="3">
        <v>30.88</v>
      </c>
      <c r="H457" s="4">
        <v>137.08000000000001</v>
      </c>
      <c r="I457" s="3">
        <v>86.95</v>
      </c>
      <c r="J457" t="s">
        <v>19</v>
      </c>
      <c r="K457" s="5">
        <v>3.1754499999999997</v>
      </c>
      <c r="L457" s="6" cm="1">
        <f t="array" ref="L457">_xlfn.PERCENTILE.INC(_xlfn._xlws.FILTER(tabla_base[Rendimiento_por_hectarea_ton], tabla_base[tipo_cultivo]=tabla_base[[#This Row],[tipo_cultivo]]), 0.75)</f>
        <v>5.3984449999999997</v>
      </c>
      <c r="M457" s="7" t="str">
        <f>IF(tabla_base[[#This Row],[Rendimiento_por_hectarea_ton]]&gt;tabla_base[[#This Row],[percentil_0,75]],"Sí","No")</f>
        <v>No</v>
      </c>
      <c r="N457" s="3">
        <v>0.5</v>
      </c>
      <c r="O457" t="s">
        <v>26</v>
      </c>
    </row>
    <row r="458" spans="1:15" x14ac:dyDescent="0.35">
      <c r="A458" t="s">
        <v>490</v>
      </c>
      <c r="B458" s="1" t="s">
        <v>16</v>
      </c>
      <c r="C458" s="1" t="s">
        <v>23</v>
      </c>
      <c r="D458" s="1" t="s">
        <v>33</v>
      </c>
      <c r="E458" s="2">
        <v>37.89</v>
      </c>
      <c r="F458" s="3">
        <v>6.1</v>
      </c>
      <c r="G458" s="3">
        <v>28.46</v>
      </c>
      <c r="H458" s="4">
        <v>187.19</v>
      </c>
      <c r="I458" s="3">
        <v>83.74</v>
      </c>
      <c r="J458" t="s">
        <v>19</v>
      </c>
      <c r="K458" s="5">
        <v>2.8465599999999998</v>
      </c>
      <c r="L458" s="6" cm="1">
        <f t="array" ref="L458">_xlfn.PERCENTILE.INC(_xlfn._xlws.FILTER(tabla_base[Rendimiento_por_hectarea_ton], tabla_base[tipo_cultivo]=tabla_base[[#This Row],[tipo_cultivo]]), 0.75)</f>
        <v>5.1635450000000001</v>
      </c>
      <c r="M458" s="7" t="str">
        <f>IF(tabla_base[[#This Row],[Rendimiento_por_hectarea_ton]]&gt;tabla_base[[#This Row],[percentil_0,75]],"Sí","No")</f>
        <v>No</v>
      </c>
      <c r="N458" s="3">
        <v>0.83</v>
      </c>
      <c r="O458" t="s">
        <v>19</v>
      </c>
    </row>
    <row r="459" spans="1:15" x14ac:dyDescent="0.35">
      <c r="A459" t="s">
        <v>491</v>
      </c>
      <c r="B459" s="1" t="s">
        <v>16</v>
      </c>
      <c r="C459" s="1" t="s">
        <v>23</v>
      </c>
      <c r="D459" s="1" t="s">
        <v>31</v>
      </c>
      <c r="E459" s="2">
        <v>41.59</v>
      </c>
      <c r="F459" s="3">
        <v>7.03</v>
      </c>
      <c r="G459" s="3">
        <v>19.41</v>
      </c>
      <c r="H459" s="4">
        <v>114.41</v>
      </c>
      <c r="I459" s="3">
        <v>63.82</v>
      </c>
      <c r="J459" t="s">
        <v>28</v>
      </c>
      <c r="K459" s="5">
        <v>3.9678400000000003</v>
      </c>
      <c r="L459" s="6" cm="1">
        <f t="array" ref="L459">_xlfn.PERCENTILE.INC(_xlfn._xlws.FILTER(tabla_base[Rendimiento_por_hectarea_ton], tabla_base[tipo_cultivo]=tabla_base[[#This Row],[tipo_cultivo]]), 0.75)</f>
        <v>5.1742550000000005</v>
      </c>
      <c r="M459" s="7" t="str">
        <f>IF(tabla_base[[#This Row],[Rendimiento_por_hectarea_ton]]&gt;tabla_base[[#This Row],[percentil_0,75]],"Sí","No")</f>
        <v>No</v>
      </c>
      <c r="N459" s="3">
        <v>0.61</v>
      </c>
      <c r="O459" t="s">
        <v>20</v>
      </c>
    </row>
    <row r="460" spans="1:15" x14ac:dyDescent="0.35">
      <c r="A460" t="s">
        <v>492</v>
      </c>
      <c r="B460" s="1" t="s">
        <v>22</v>
      </c>
      <c r="C460" s="1" t="s">
        <v>30</v>
      </c>
      <c r="D460" s="1" t="s">
        <v>33</v>
      </c>
      <c r="E460" s="2">
        <v>41.86</v>
      </c>
      <c r="F460" s="3">
        <v>6.99</v>
      </c>
      <c r="G460" s="3">
        <v>29.5</v>
      </c>
      <c r="H460" s="4">
        <v>213.48</v>
      </c>
      <c r="I460" s="3">
        <v>79.25</v>
      </c>
      <c r="J460" t="s">
        <v>19</v>
      </c>
      <c r="K460" s="5">
        <v>2.4455300000000002</v>
      </c>
      <c r="L460" s="6" cm="1">
        <f t="array" ref="L460">_xlfn.PERCENTILE.INC(_xlfn._xlws.FILTER(tabla_base[Rendimiento_por_hectarea_ton], tabla_base[tipo_cultivo]=tabla_base[[#This Row],[tipo_cultivo]]), 0.75)</f>
        <v>5.1635450000000001</v>
      </c>
      <c r="M460" s="7" t="str">
        <f>IF(tabla_base[[#This Row],[Rendimiento_por_hectarea_ton]]&gt;tabla_base[[#This Row],[percentil_0,75]],"Sí","No")</f>
        <v>No</v>
      </c>
      <c r="N460" s="3">
        <v>0.85</v>
      </c>
      <c r="O460" t="s">
        <v>26</v>
      </c>
    </row>
    <row r="461" spans="1:15" x14ac:dyDescent="0.35">
      <c r="A461" t="s">
        <v>493</v>
      </c>
      <c r="B461" s="1" t="s">
        <v>39</v>
      </c>
      <c r="C461" s="1" t="s">
        <v>40</v>
      </c>
      <c r="D461" s="1" t="s">
        <v>31</v>
      </c>
      <c r="E461" s="2">
        <v>14.46</v>
      </c>
      <c r="F461" s="3">
        <v>6.13</v>
      </c>
      <c r="G461" s="3">
        <v>22.6</v>
      </c>
      <c r="H461" s="4">
        <v>234.23</v>
      </c>
      <c r="I461" s="3">
        <v>55.54</v>
      </c>
      <c r="J461" t="s">
        <v>25</v>
      </c>
      <c r="K461" s="5">
        <v>5.1900699999999995</v>
      </c>
      <c r="L461" s="6" cm="1">
        <f t="array" ref="L461">_xlfn.PERCENTILE.INC(_xlfn._xlws.FILTER(tabla_base[Rendimiento_por_hectarea_ton], tabla_base[tipo_cultivo]=tabla_base[[#This Row],[tipo_cultivo]]), 0.75)</f>
        <v>5.1742550000000005</v>
      </c>
      <c r="M461" s="7" t="str">
        <f>IF(tabla_base[[#This Row],[Rendimiento_por_hectarea_ton]]&gt;tabla_base[[#This Row],[percentil_0,75]],"Sí","No")</f>
        <v>Sí</v>
      </c>
      <c r="N461" s="3">
        <v>0.63</v>
      </c>
      <c r="O461" t="s">
        <v>44</v>
      </c>
    </row>
    <row r="462" spans="1:15" x14ac:dyDescent="0.35">
      <c r="A462" t="s">
        <v>494</v>
      </c>
      <c r="B462" s="1" t="s">
        <v>22</v>
      </c>
      <c r="C462" s="1" t="s">
        <v>23</v>
      </c>
      <c r="D462" s="1" t="s">
        <v>18</v>
      </c>
      <c r="E462" s="2">
        <v>28.84</v>
      </c>
      <c r="F462" s="3">
        <v>6.42</v>
      </c>
      <c r="G462" s="3">
        <v>17.89</v>
      </c>
      <c r="H462" s="4">
        <v>285.72000000000003</v>
      </c>
      <c r="I462" s="3">
        <v>81.86</v>
      </c>
      <c r="J462" t="s">
        <v>19</v>
      </c>
      <c r="K462" s="5">
        <v>5.3965100000000001</v>
      </c>
      <c r="L462" s="6" cm="1">
        <f t="array" ref="L462">_xlfn.PERCENTILE.INC(_xlfn._xlws.FILTER(tabla_base[Rendimiento_por_hectarea_ton], tabla_base[tipo_cultivo]=tabla_base[[#This Row],[tipo_cultivo]]), 0.75)</f>
        <v>5.2079399999999998</v>
      </c>
      <c r="M462" s="7" t="str">
        <f>IF(tabla_base[[#This Row],[Rendimiento_por_hectarea_ton]]&gt;tabla_base[[#This Row],[percentil_0,75]],"Sí","No")</f>
        <v>Sí</v>
      </c>
      <c r="N462" s="3">
        <v>0.55000000000000004</v>
      </c>
      <c r="O462" t="s">
        <v>20</v>
      </c>
    </row>
    <row r="463" spans="1:15" x14ac:dyDescent="0.35">
      <c r="A463" t="s">
        <v>495</v>
      </c>
      <c r="B463" s="1" t="s">
        <v>22</v>
      </c>
      <c r="C463" s="1" t="s">
        <v>30</v>
      </c>
      <c r="D463" s="1" t="s">
        <v>24</v>
      </c>
      <c r="E463" s="2">
        <v>26.74</v>
      </c>
      <c r="F463" s="3">
        <v>7.16</v>
      </c>
      <c r="G463" s="3">
        <v>24.9</v>
      </c>
      <c r="H463" s="4">
        <v>226.04</v>
      </c>
      <c r="I463" s="3">
        <v>58.84</v>
      </c>
      <c r="J463" t="s">
        <v>37</v>
      </c>
      <c r="K463" s="5">
        <v>5.73773</v>
      </c>
      <c r="L463" s="6" cm="1">
        <f t="array" ref="L463">_xlfn.PERCENTILE.INC(_xlfn._xlws.FILTER(tabla_base[Rendimiento_por_hectarea_ton], tabla_base[tipo_cultivo]=tabla_base[[#This Row],[tipo_cultivo]]), 0.75)</f>
        <v>5.3984449999999997</v>
      </c>
      <c r="M463" s="7" t="str">
        <f>IF(tabla_base[[#This Row],[Rendimiento_por_hectarea_ton]]&gt;tabla_base[[#This Row],[percentil_0,75]],"Sí","No")</f>
        <v>Sí</v>
      </c>
      <c r="N463" s="3">
        <v>0.79</v>
      </c>
      <c r="O463" t="s">
        <v>26</v>
      </c>
    </row>
    <row r="464" spans="1:15" x14ac:dyDescent="0.35">
      <c r="A464" t="s">
        <v>496</v>
      </c>
      <c r="B464" s="1" t="s">
        <v>22</v>
      </c>
      <c r="C464" s="1" t="s">
        <v>23</v>
      </c>
      <c r="D464" s="1" t="s">
        <v>33</v>
      </c>
      <c r="E464" s="2">
        <v>20.47</v>
      </c>
      <c r="F464" s="3">
        <v>7.13</v>
      </c>
      <c r="G464" s="3">
        <v>33.25</v>
      </c>
      <c r="H464" s="4">
        <v>89.8</v>
      </c>
      <c r="I464" s="3">
        <v>41.08</v>
      </c>
      <c r="J464" t="s">
        <v>19</v>
      </c>
      <c r="K464" s="5">
        <v>3.5642499999999999</v>
      </c>
      <c r="L464" s="6" cm="1">
        <f t="array" ref="L464">_xlfn.PERCENTILE.INC(_xlfn._xlws.FILTER(tabla_base[Rendimiento_por_hectarea_ton], tabla_base[tipo_cultivo]=tabla_base[[#This Row],[tipo_cultivo]]), 0.75)</f>
        <v>5.1635450000000001</v>
      </c>
      <c r="M464" s="7" t="str">
        <f>IF(tabla_base[[#This Row],[Rendimiento_por_hectarea_ton]]&gt;tabla_base[[#This Row],[percentil_0,75]],"Sí","No")</f>
        <v>No</v>
      </c>
      <c r="N464" s="3">
        <v>0.61</v>
      </c>
      <c r="O464" t="s">
        <v>19</v>
      </c>
    </row>
    <row r="465" spans="1:15" x14ac:dyDescent="0.35">
      <c r="A465" t="s">
        <v>497</v>
      </c>
      <c r="B465" s="1" t="s">
        <v>16</v>
      </c>
      <c r="C465" s="1" t="s">
        <v>17</v>
      </c>
      <c r="D465" s="1" t="s">
        <v>35</v>
      </c>
      <c r="E465" s="2">
        <v>21.32</v>
      </c>
      <c r="F465" s="3">
        <v>7.08</v>
      </c>
      <c r="G465" s="3">
        <v>32.32</v>
      </c>
      <c r="H465" s="4">
        <v>63.53</v>
      </c>
      <c r="I465" s="3">
        <v>86.73</v>
      </c>
      <c r="J465" t="s">
        <v>25</v>
      </c>
      <c r="K465" s="5">
        <v>5.58887</v>
      </c>
      <c r="L465" s="6" cm="1">
        <f t="array" ref="L465">_xlfn.PERCENTILE.INC(_xlfn._xlws.FILTER(tabla_base[Rendimiento_por_hectarea_ton], tabla_base[tipo_cultivo]=tabla_base[[#This Row],[tipo_cultivo]]), 0.75)</f>
        <v>5.1318025</v>
      </c>
      <c r="M465" s="7" t="str">
        <f>IF(tabla_base[[#This Row],[Rendimiento_por_hectarea_ton]]&gt;tabla_base[[#This Row],[percentil_0,75]],"Sí","No")</f>
        <v>Sí</v>
      </c>
      <c r="N465" s="3">
        <v>0.39</v>
      </c>
      <c r="O465" t="s">
        <v>19</v>
      </c>
    </row>
    <row r="466" spans="1:15" x14ac:dyDescent="0.35">
      <c r="A466" t="s">
        <v>498</v>
      </c>
      <c r="B466" s="1" t="s">
        <v>22</v>
      </c>
      <c r="C466" s="1" t="s">
        <v>30</v>
      </c>
      <c r="D466" s="1" t="s">
        <v>24</v>
      </c>
      <c r="E466" s="2">
        <v>13.57</v>
      </c>
      <c r="F466" s="3">
        <v>7.07</v>
      </c>
      <c r="G466" s="3">
        <v>32.17</v>
      </c>
      <c r="H466" s="4">
        <v>144.13999999999999</v>
      </c>
      <c r="I466" s="3">
        <v>89.14</v>
      </c>
      <c r="J466" t="s">
        <v>25</v>
      </c>
      <c r="K466" s="5">
        <v>2.2098899999999997</v>
      </c>
      <c r="L466" s="6" cm="1">
        <f t="array" ref="L466">_xlfn.PERCENTILE.INC(_xlfn._xlws.FILTER(tabla_base[Rendimiento_por_hectarea_ton], tabla_base[tipo_cultivo]=tabla_base[[#This Row],[tipo_cultivo]]), 0.75)</f>
        <v>5.3984449999999997</v>
      </c>
      <c r="M466" s="7" t="str">
        <f>IF(tabla_base[[#This Row],[Rendimiento_por_hectarea_ton]]&gt;tabla_base[[#This Row],[percentil_0,75]],"Sí","No")</f>
        <v>No</v>
      </c>
      <c r="N466" s="3">
        <v>0.86</v>
      </c>
      <c r="O466" t="s">
        <v>44</v>
      </c>
    </row>
    <row r="467" spans="1:15" x14ac:dyDescent="0.35">
      <c r="A467" t="s">
        <v>499</v>
      </c>
      <c r="B467" s="1" t="s">
        <v>16</v>
      </c>
      <c r="C467" s="1" t="s">
        <v>23</v>
      </c>
      <c r="D467" s="1" t="s">
        <v>18</v>
      </c>
      <c r="E467" s="2">
        <v>14.16</v>
      </c>
      <c r="F467" s="3">
        <v>6.29</v>
      </c>
      <c r="G467" s="3">
        <v>21.05</v>
      </c>
      <c r="H467" s="4">
        <v>199.04</v>
      </c>
      <c r="I467" s="3">
        <v>48.62</v>
      </c>
      <c r="J467" t="s">
        <v>28</v>
      </c>
      <c r="K467" s="5">
        <v>4.5293299999999999</v>
      </c>
      <c r="L467" s="6" cm="1">
        <f t="array" ref="L467">_xlfn.PERCENTILE.INC(_xlfn._xlws.FILTER(tabla_base[Rendimiento_por_hectarea_ton], tabla_base[tipo_cultivo]=tabla_base[[#This Row],[tipo_cultivo]]), 0.75)</f>
        <v>5.2079399999999998</v>
      </c>
      <c r="M467" s="7" t="str">
        <f>IF(tabla_base[[#This Row],[Rendimiento_por_hectarea_ton]]&gt;tabla_base[[#This Row],[percentil_0,75]],"Sí","No")</f>
        <v>No</v>
      </c>
      <c r="N467" s="3">
        <v>0.54</v>
      </c>
      <c r="O467" t="s">
        <v>26</v>
      </c>
    </row>
    <row r="468" spans="1:15" x14ac:dyDescent="0.35">
      <c r="A468" t="s">
        <v>500</v>
      </c>
      <c r="B468" s="1" t="s">
        <v>39</v>
      </c>
      <c r="C468" s="1" t="s">
        <v>40</v>
      </c>
      <c r="D468" s="1" t="s">
        <v>35</v>
      </c>
      <c r="E468" s="2">
        <v>10.81</v>
      </c>
      <c r="F468" s="3">
        <v>6.65</v>
      </c>
      <c r="G468" s="3">
        <v>26.45</v>
      </c>
      <c r="H468" s="4">
        <v>118.43</v>
      </c>
      <c r="I468" s="3">
        <v>77.27</v>
      </c>
      <c r="J468" t="s">
        <v>25</v>
      </c>
      <c r="K468" s="5">
        <v>3.1934499999999999</v>
      </c>
      <c r="L468" s="6" cm="1">
        <f t="array" ref="L468">_xlfn.PERCENTILE.INC(_xlfn._xlws.FILTER(tabla_base[Rendimiento_por_hectarea_ton], tabla_base[tipo_cultivo]=tabla_base[[#This Row],[tipo_cultivo]]), 0.75)</f>
        <v>5.1318025</v>
      </c>
      <c r="M468" s="7" t="str">
        <f>IF(tabla_base[[#This Row],[Rendimiento_por_hectarea_ton]]&gt;tabla_base[[#This Row],[percentil_0,75]],"Sí","No")</f>
        <v>No</v>
      </c>
      <c r="N468" s="3">
        <v>0.57999999999999996</v>
      </c>
      <c r="O468" t="s">
        <v>20</v>
      </c>
    </row>
    <row r="469" spans="1:15" x14ac:dyDescent="0.35">
      <c r="A469" t="s">
        <v>501</v>
      </c>
      <c r="B469" s="1" t="s">
        <v>22</v>
      </c>
      <c r="C469" s="1" t="s">
        <v>23</v>
      </c>
      <c r="D469" s="1" t="s">
        <v>18</v>
      </c>
      <c r="E469" s="2">
        <v>23.78</v>
      </c>
      <c r="F469" s="3">
        <v>7.13</v>
      </c>
      <c r="G469" s="3">
        <v>30.67</v>
      </c>
      <c r="H469" s="4">
        <v>182.52</v>
      </c>
      <c r="I469" s="3">
        <v>43.2</v>
      </c>
      <c r="J469" t="s">
        <v>28</v>
      </c>
      <c r="K469" s="5">
        <v>4.3964099999999995</v>
      </c>
      <c r="L469" s="6" cm="1">
        <f t="array" ref="L469">_xlfn.PERCENTILE.INC(_xlfn._xlws.FILTER(tabla_base[Rendimiento_por_hectarea_ton], tabla_base[tipo_cultivo]=tabla_base[[#This Row],[tipo_cultivo]]), 0.75)</f>
        <v>5.2079399999999998</v>
      </c>
      <c r="M469" s="7" t="str">
        <f>IF(tabla_base[[#This Row],[Rendimiento_por_hectarea_ton]]&gt;tabla_base[[#This Row],[percentil_0,75]],"Sí","No")</f>
        <v>No</v>
      </c>
      <c r="N469" s="3">
        <v>0.83</v>
      </c>
      <c r="O469" t="s">
        <v>20</v>
      </c>
    </row>
    <row r="470" spans="1:15" x14ac:dyDescent="0.35">
      <c r="A470" t="s">
        <v>502</v>
      </c>
      <c r="B470" s="1" t="s">
        <v>16</v>
      </c>
      <c r="C470" s="1" t="s">
        <v>23</v>
      </c>
      <c r="D470" s="1" t="s">
        <v>24</v>
      </c>
      <c r="E470" s="2">
        <v>17.22</v>
      </c>
      <c r="F470" s="3">
        <v>5.82</v>
      </c>
      <c r="G470" s="3">
        <v>26.25</v>
      </c>
      <c r="H470" s="4">
        <v>262.86</v>
      </c>
      <c r="I470" s="3">
        <v>41.75</v>
      </c>
      <c r="J470" t="s">
        <v>37</v>
      </c>
      <c r="K470" s="5">
        <v>4.6326400000000003</v>
      </c>
      <c r="L470" s="6" cm="1">
        <f t="array" ref="L470">_xlfn.PERCENTILE.INC(_xlfn._xlws.FILTER(tabla_base[Rendimiento_por_hectarea_ton], tabla_base[tipo_cultivo]=tabla_base[[#This Row],[tipo_cultivo]]), 0.75)</f>
        <v>5.3984449999999997</v>
      </c>
      <c r="M470" s="7" t="str">
        <f>IF(tabla_base[[#This Row],[Rendimiento_por_hectarea_ton]]&gt;tabla_base[[#This Row],[percentil_0,75]],"Sí","No")</f>
        <v>No</v>
      </c>
      <c r="N470" s="3">
        <v>0.86</v>
      </c>
      <c r="O470" t="s">
        <v>26</v>
      </c>
    </row>
    <row r="471" spans="1:15" x14ac:dyDescent="0.35">
      <c r="A471" t="s">
        <v>503</v>
      </c>
      <c r="B471" s="1" t="s">
        <v>39</v>
      </c>
      <c r="C471" s="1" t="s">
        <v>40</v>
      </c>
      <c r="D471" s="1" t="s">
        <v>33</v>
      </c>
      <c r="E471" s="2">
        <v>14.89</v>
      </c>
      <c r="F471" s="3">
        <v>6.48</v>
      </c>
      <c r="G471" s="3">
        <v>21.26</v>
      </c>
      <c r="H471" s="4">
        <v>277.7</v>
      </c>
      <c r="I471" s="3">
        <v>89.84</v>
      </c>
      <c r="J471" t="s">
        <v>25</v>
      </c>
      <c r="K471" s="5">
        <v>2.7522899999999999</v>
      </c>
      <c r="L471" s="6" cm="1">
        <f t="array" ref="L471">_xlfn.PERCENTILE.INC(_xlfn._xlws.FILTER(tabla_base[Rendimiento_por_hectarea_ton], tabla_base[tipo_cultivo]=tabla_base[[#This Row],[tipo_cultivo]]), 0.75)</f>
        <v>5.1635450000000001</v>
      </c>
      <c r="M471" s="7" t="str">
        <f>IF(tabla_base[[#This Row],[Rendimiento_por_hectarea_ton]]&gt;tabla_base[[#This Row],[percentil_0,75]],"Sí","No")</f>
        <v>No</v>
      </c>
      <c r="N471" s="3">
        <v>0.44</v>
      </c>
      <c r="O471" t="s">
        <v>44</v>
      </c>
    </row>
    <row r="472" spans="1:15" x14ac:dyDescent="0.35">
      <c r="A472" t="s">
        <v>504</v>
      </c>
      <c r="B472" s="1" t="s">
        <v>39</v>
      </c>
      <c r="C472" s="1" t="s">
        <v>40</v>
      </c>
      <c r="D472" s="1" t="s">
        <v>31</v>
      </c>
      <c r="E472" s="2">
        <v>19.71</v>
      </c>
      <c r="F472" s="3">
        <v>6.96</v>
      </c>
      <c r="G472" s="3">
        <v>23.44</v>
      </c>
      <c r="H472" s="4">
        <v>187.46</v>
      </c>
      <c r="I472" s="3">
        <v>53.03</v>
      </c>
      <c r="J472" t="s">
        <v>25</v>
      </c>
      <c r="K472" s="5">
        <v>5.7608000000000006</v>
      </c>
      <c r="L472" s="6" cm="1">
        <f t="array" ref="L472">_xlfn.PERCENTILE.INC(_xlfn._xlws.FILTER(tabla_base[Rendimiento_por_hectarea_ton], tabla_base[tipo_cultivo]=tabla_base[[#This Row],[tipo_cultivo]]), 0.75)</f>
        <v>5.1742550000000005</v>
      </c>
      <c r="M472" s="7" t="str">
        <f>IF(tabla_base[[#This Row],[Rendimiento_por_hectarea_ton]]&gt;tabla_base[[#This Row],[percentil_0,75]],"Sí","No")</f>
        <v>Sí</v>
      </c>
      <c r="N472" s="3">
        <v>0.88</v>
      </c>
      <c r="O472" t="s">
        <v>26</v>
      </c>
    </row>
    <row r="473" spans="1:15" x14ac:dyDescent="0.35">
      <c r="A473" t="s">
        <v>505</v>
      </c>
      <c r="B473" s="1" t="s">
        <v>22</v>
      </c>
      <c r="C473" s="1" t="s">
        <v>30</v>
      </c>
      <c r="D473" s="1" t="s">
        <v>24</v>
      </c>
      <c r="E473" s="2">
        <v>33.01</v>
      </c>
      <c r="F473" s="3">
        <v>7.14</v>
      </c>
      <c r="G473" s="3">
        <v>27.1</v>
      </c>
      <c r="H473" s="4">
        <v>154.91999999999999</v>
      </c>
      <c r="I473" s="3">
        <v>47.67</v>
      </c>
      <c r="J473" t="s">
        <v>19</v>
      </c>
      <c r="K473" s="5">
        <v>3.0804999999999998</v>
      </c>
      <c r="L473" s="6" cm="1">
        <f t="array" ref="L473">_xlfn.PERCENTILE.INC(_xlfn._xlws.FILTER(tabla_base[Rendimiento_por_hectarea_ton], tabla_base[tipo_cultivo]=tabla_base[[#This Row],[tipo_cultivo]]), 0.75)</f>
        <v>5.3984449999999997</v>
      </c>
      <c r="M473" s="7" t="str">
        <f>IF(tabla_base[[#This Row],[Rendimiento_por_hectarea_ton]]&gt;tabla_base[[#This Row],[percentil_0,75]],"Sí","No")</f>
        <v>No</v>
      </c>
      <c r="N473" s="3">
        <v>0.81</v>
      </c>
      <c r="O473" t="s">
        <v>19</v>
      </c>
    </row>
    <row r="474" spans="1:15" x14ac:dyDescent="0.35">
      <c r="A474" t="s">
        <v>506</v>
      </c>
      <c r="B474" s="1" t="s">
        <v>22</v>
      </c>
      <c r="C474" s="1" t="s">
        <v>30</v>
      </c>
      <c r="D474" s="1" t="s">
        <v>31</v>
      </c>
      <c r="E474" s="2">
        <v>37.229999999999997</v>
      </c>
      <c r="F474" s="3">
        <v>5.79</v>
      </c>
      <c r="G474" s="3">
        <v>30.96</v>
      </c>
      <c r="H474" s="4">
        <v>118.41</v>
      </c>
      <c r="I474" s="3">
        <v>44.9</v>
      </c>
      <c r="J474" t="s">
        <v>25</v>
      </c>
      <c r="K474" s="5">
        <v>4.9133100000000001</v>
      </c>
      <c r="L474" s="6" cm="1">
        <f t="array" ref="L474">_xlfn.PERCENTILE.INC(_xlfn._xlws.FILTER(tabla_base[Rendimiento_por_hectarea_ton], tabla_base[tipo_cultivo]=tabla_base[[#This Row],[tipo_cultivo]]), 0.75)</f>
        <v>5.1742550000000005</v>
      </c>
      <c r="M474" s="7" t="str">
        <f>IF(tabla_base[[#This Row],[Rendimiento_por_hectarea_ton]]&gt;tabla_base[[#This Row],[percentil_0,75]],"Sí","No")</f>
        <v>No</v>
      </c>
      <c r="N474" s="3">
        <v>0.39</v>
      </c>
      <c r="O474" t="s">
        <v>26</v>
      </c>
    </row>
    <row r="475" spans="1:15" x14ac:dyDescent="0.35">
      <c r="A475" t="s">
        <v>507</v>
      </c>
      <c r="B475" s="1" t="s">
        <v>39</v>
      </c>
      <c r="C475" s="1" t="s">
        <v>40</v>
      </c>
      <c r="D475" s="1" t="s">
        <v>31</v>
      </c>
      <c r="E475" s="2">
        <v>29.3</v>
      </c>
      <c r="F475" s="3">
        <v>6.71</v>
      </c>
      <c r="G475" s="3">
        <v>32.93</v>
      </c>
      <c r="H475" s="4">
        <v>92.69</v>
      </c>
      <c r="I475" s="3">
        <v>87.33</v>
      </c>
      <c r="J475" t="s">
        <v>37</v>
      </c>
      <c r="K475" s="5">
        <v>5.5280800000000001</v>
      </c>
      <c r="L475" s="6" cm="1">
        <f t="array" ref="L475">_xlfn.PERCENTILE.INC(_xlfn._xlws.FILTER(tabla_base[Rendimiento_por_hectarea_ton], tabla_base[tipo_cultivo]=tabla_base[[#This Row],[tipo_cultivo]]), 0.75)</f>
        <v>5.1742550000000005</v>
      </c>
      <c r="M475" s="7" t="str">
        <f>IF(tabla_base[[#This Row],[Rendimiento_por_hectarea_ton]]&gt;tabla_base[[#This Row],[percentil_0,75]],"Sí","No")</f>
        <v>Sí</v>
      </c>
      <c r="N475" s="3">
        <v>0.4</v>
      </c>
      <c r="O475" t="s">
        <v>20</v>
      </c>
    </row>
    <row r="476" spans="1:15" x14ac:dyDescent="0.35">
      <c r="A476" t="s">
        <v>508</v>
      </c>
      <c r="B476" s="1" t="s">
        <v>16</v>
      </c>
      <c r="C476" s="1" t="s">
        <v>23</v>
      </c>
      <c r="D476" s="1" t="s">
        <v>35</v>
      </c>
      <c r="E476" s="2">
        <v>23.26</v>
      </c>
      <c r="F476" s="3">
        <v>6.97</v>
      </c>
      <c r="G476" s="3">
        <v>16.059999999999999</v>
      </c>
      <c r="H476" s="4">
        <v>231.35</v>
      </c>
      <c r="I476" s="3">
        <v>88.72</v>
      </c>
      <c r="J476" t="s">
        <v>25</v>
      </c>
      <c r="K476" s="5">
        <v>3.7558400000000001</v>
      </c>
      <c r="L476" s="6" cm="1">
        <f t="array" ref="L476">_xlfn.PERCENTILE.INC(_xlfn._xlws.FILTER(tabla_base[Rendimiento_por_hectarea_ton], tabla_base[tipo_cultivo]=tabla_base[[#This Row],[tipo_cultivo]]), 0.75)</f>
        <v>5.1318025</v>
      </c>
      <c r="M476" s="7" t="str">
        <f>IF(tabla_base[[#This Row],[Rendimiento_por_hectarea_ton]]&gt;tabla_base[[#This Row],[percentil_0,75]],"Sí","No")</f>
        <v>No</v>
      </c>
      <c r="N476" s="3">
        <v>0.83</v>
      </c>
      <c r="O476" t="s">
        <v>26</v>
      </c>
    </row>
    <row r="477" spans="1:15" x14ac:dyDescent="0.35">
      <c r="A477" t="s">
        <v>509</v>
      </c>
      <c r="B477" s="1" t="s">
        <v>39</v>
      </c>
      <c r="C477" s="1" t="s">
        <v>40</v>
      </c>
      <c r="D477" s="1" t="s">
        <v>35</v>
      </c>
      <c r="E477" s="2">
        <v>20.68</v>
      </c>
      <c r="F477" s="3">
        <v>7.22</v>
      </c>
      <c r="G477" s="3">
        <v>33.950000000000003</v>
      </c>
      <c r="H477" s="4">
        <v>151.63</v>
      </c>
      <c r="I477" s="3">
        <v>55.64</v>
      </c>
      <c r="J477" t="s">
        <v>28</v>
      </c>
      <c r="K477" s="5">
        <v>2.2296499999999999</v>
      </c>
      <c r="L477" s="6" cm="1">
        <f t="array" ref="L477">_xlfn.PERCENTILE.INC(_xlfn._xlws.FILTER(tabla_base[Rendimiento_por_hectarea_ton], tabla_base[tipo_cultivo]=tabla_base[[#This Row],[tipo_cultivo]]), 0.75)</f>
        <v>5.1318025</v>
      </c>
      <c r="M477" s="7" t="str">
        <f>IF(tabla_base[[#This Row],[Rendimiento_por_hectarea_ton]]&gt;tabla_base[[#This Row],[percentil_0,75]],"Sí","No")</f>
        <v>No</v>
      </c>
      <c r="N477" s="3">
        <v>0.59</v>
      </c>
      <c r="O477" t="s">
        <v>26</v>
      </c>
    </row>
    <row r="478" spans="1:15" x14ac:dyDescent="0.35">
      <c r="A478" t="s">
        <v>510</v>
      </c>
      <c r="B478" s="1" t="s">
        <v>22</v>
      </c>
      <c r="C478" s="1" t="s">
        <v>23</v>
      </c>
      <c r="D478" s="1" t="s">
        <v>24</v>
      </c>
      <c r="E478" s="2">
        <v>42.64</v>
      </c>
      <c r="F478" s="3">
        <v>5.77</v>
      </c>
      <c r="G478" s="3">
        <v>24.96</v>
      </c>
      <c r="H478" s="4">
        <v>221.28</v>
      </c>
      <c r="I478" s="3">
        <v>73.84</v>
      </c>
      <c r="J478" t="s">
        <v>28</v>
      </c>
      <c r="K478" s="5">
        <v>2.0291600000000001</v>
      </c>
      <c r="L478" s="6" cm="1">
        <f t="array" ref="L478">_xlfn.PERCENTILE.INC(_xlfn._xlws.FILTER(tabla_base[Rendimiento_por_hectarea_ton], tabla_base[tipo_cultivo]=tabla_base[[#This Row],[tipo_cultivo]]), 0.75)</f>
        <v>5.3984449999999997</v>
      </c>
      <c r="M478" s="7" t="str">
        <f>IF(tabla_base[[#This Row],[Rendimiento_por_hectarea_ton]]&gt;tabla_base[[#This Row],[percentil_0,75]],"Sí","No")</f>
        <v>No</v>
      </c>
      <c r="N478" s="3">
        <v>0.66</v>
      </c>
      <c r="O478" t="s">
        <v>20</v>
      </c>
    </row>
    <row r="479" spans="1:15" x14ac:dyDescent="0.35">
      <c r="A479" t="s">
        <v>511</v>
      </c>
      <c r="B479" s="1" t="s">
        <v>39</v>
      </c>
      <c r="C479" s="1" t="s">
        <v>40</v>
      </c>
      <c r="D479" s="1" t="s">
        <v>33</v>
      </c>
      <c r="E479" s="2">
        <v>43.76</v>
      </c>
      <c r="F479" s="3">
        <v>6.85</v>
      </c>
      <c r="G479" s="3">
        <v>32.64</v>
      </c>
      <c r="H479" s="4">
        <v>180.88</v>
      </c>
      <c r="I479" s="3">
        <v>51.25</v>
      </c>
      <c r="J479" t="s">
        <v>25</v>
      </c>
      <c r="K479" s="5">
        <v>3.5163800000000003</v>
      </c>
      <c r="L479" s="6" cm="1">
        <f t="array" ref="L479">_xlfn.PERCENTILE.INC(_xlfn._xlws.FILTER(tabla_base[Rendimiento_por_hectarea_ton], tabla_base[tipo_cultivo]=tabla_base[[#This Row],[tipo_cultivo]]), 0.75)</f>
        <v>5.1635450000000001</v>
      </c>
      <c r="M479" s="7" t="str">
        <f>IF(tabla_base[[#This Row],[Rendimiento_por_hectarea_ton]]&gt;tabla_base[[#This Row],[percentil_0,75]],"Sí","No")</f>
        <v>No</v>
      </c>
      <c r="N479" s="3">
        <v>0.73</v>
      </c>
      <c r="O479" t="s">
        <v>19</v>
      </c>
    </row>
    <row r="480" spans="1:15" x14ac:dyDescent="0.35">
      <c r="A480" t="s">
        <v>512</v>
      </c>
      <c r="B480" s="1" t="s">
        <v>22</v>
      </c>
      <c r="C480" s="1" t="s">
        <v>30</v>
      </c>
      <c r="D480" s="1" t="s">
        <v>31</v>
      </c>
      <c r="E480" s="2">
        <v>26.91</v>
      </c>
      <c r="F480" s="3">
        <v>6.03</v>
      </c>
      <c r="G480" s="3">
        <v>15.04</v>
      </c>
      <c r="H480" s="4">
        <v>207.79</v>
      </c>
      <c r="I480" s="3">
        <v>59.68</v>
      </c>
      <c r="J480" t="s">
        <v>28</v>
      </c>
      <c r="K480" s="5">
        <v>2.0235599999999998</v>
      </c>
      <c r="L480" s="6" cm="1">
        <f t="array" ref="L480">_xlfn.PERCENTILE.INC(_xlfn._xlws.FILTER(tabla_base[Rendimiento_por_hectarea_ton], tabla_base[tipo_cultivo]=tabla_base[[#This Row],[tipo_cultivo]]), 0.75)</f>
        <v>5.1742550000000005</v>
      </c>
      <c r="M480" s="7" t="str">
        <f>IF(tabla_base[[#This Row],[Rendimiento_por_hectarea_ton]]&gt;tabla_base[[#This Row],[percentil_0,75]],"Sí","No")</f>
        <v>No</v>
      </c>
      <c r="N480" s="3">
        <v>0.62</v>
      </c>
      <c r="O480" t="s">
        <v>19</v>
      </c>
    </row>
    <row r="481" spans="1:15" x14ac:dyDescent="0.35">
      <c r="A481" t="s">
        <v>513</v>
      </c>
      <c r="B481" s="1" t="s">
        <v>22</v>
      </c>
      <c r="C481" s="1" t="s">
        <v>23</v>
      </c>
      <c r="D481" s="1" t="s">
        <v>31</v>
      </c>
      <c r="E481" s="2">
        <v>10.31</v>
      </c>
      <c r="F481" s="3">
        <v>6.36</v>
      </c>
      <c r="G481" s="3">
        <v>18.95</v>
      </c>
      <c r="H481" s="4">
        <v>182.27</v>
      </c>
      <c r="I481" s="3">
        <v>84.93</v>
      </c>
      <c r="J481" t="s">
        <v>19</v>
      </c>
      <c r="K481" s="5">
        <v>3.88279</v>
      </c>
      <c r="L481" s="6" cm="1">
        <f t="array" ref="L481">_xlfn.PERCENTILE.INC(_xlfn._xlws.FILTER(tabla_base[Rendimiento_por_hectarea_ton], tabla_base[tipo_cultivo]=tabla_base[[#This Row],[tipo_cultivo]]), 0.75)</f>
        <v>5.1742550000000005</v>
      </c>
      <c r="M481" s="7" t="str">
        <f>IF(tabla_base[[#This Row],[Rendimiento_por_hectarea_ton]]&gt;tabla_base[[#This Row],[percentil_0,75]],"Sí","No")</f>
        <v>No</v>
      </c>
      <c r="N481" s="3">
        <v>0.8</v>
      </c>
      <c r="O481" t="s">
        <v>19</v>
      </c>
    </row>
    <row r="482" spans="1:15" x14ac:dyDescent="0.35">
      <c r="A482" t="s">
        <v>514</v>
      </c>
      <c r="B482" s="1" t="s">
        <v>16</v>
      </c>
      <c r="C482" s="1" t="s">
        <v>17</v>
      </c>
      <c r="D482" s="1" t="s">
        <v>33</v>
      </c>
      <c r="E482" s="2">
        <v>32.97</v>
      </c>
      <c r="F482" s="3">
        <v>6.38</v>
      </c>
      <c r="G482" s="3">
        <v>17.8</v>
      </c>
      <c r="H482" s="4">
        <v>236.77</v>
      </c>
      <c r="I482" s="3">
        <v>40.29</v>
      </c>
      <c r="J482" t="s">
        <v>25</v>
      </c>
      <c r="K482" s="5">
        <v>3.6842199999999998</v>
      </c>
      <c r="L482" s="6" cm="1">
        <f t="array" ref="L482">_xlfn.PERCENTILE.INC(_xlfn._xlws.FILTER(tabla_base[Rendimiento_por_hectarea_ton], tabla_base[tipo_cultivo]=tabla_base[[#This Row],[tipo_cultivo]]), 0.75)</f>
        <v>5.1635450000000001</v>
      </c>
      <c r="M482" s="7" t="str">
        <f>IF(tabla_base[[#This Row],[Rendimiento_por_hectarea_ton]]&gt;tabla_base[[#This Row],[percentil_0,75]],"Sí","No")</f>
        <v>No</v>
      </c>
      <c r="N482" s="3">
        <v>0.41</v>
      </c>
      <c r="O482" t="s">
        <v>26</v>
      </c>
    </row>
    <row r="483" spans="1:15" x14ac:dyDescent="0.35">
      <c r="A483" t="s">
        <v>515</v>
      </c>
      <c r="B483" s="1" t="s">
        <v>22</v>
      </c>
      <c r="C483" s="1" t="s">
        <v>30</v>
      </c>
      <c r="D483" s="1" t="s">
        <v>18</v>
      </c>
      <c r="E483" s="2">
        <v>24.74</v>
      </c>
      <c r="F483" s="3">
        <v>6.6</v>
      </c>
      <c r="G483" s="3">
        <v>31</v>
      </c>
      <c r="H483" s="4">
        <v>228.58</v>
      </c>
      <c r="I483" s="3">
        <v>56.24</v>
      </c>
      <c r="J483" t="s">
        <v>19</v>
      </c>
      <c r="K483" s="5">
        <v>3.5553900000000001</v>
      </c>
      <c r="L483" s="6" cm="1">
        <f t="array" ref="L483">_xlfn.PERCENTILE.INC(_xlfn._xlws.FILTER(tabla_base[Rendimiento_por_hectarea_ton], tabla_base[tipo_cultivo]=tabla_base[[#This Row],[tipo_cultivo]]), 0.75)</f>
        <v>5.2079399999999998</v>
      </c>
      <c r="M483" s="7" t="str">
        <f>IF(tabla_base[[#This Row],[Rendimiento_por_hectarea_ton]]&gt;tabla_base[[#This Row],[percentil_0,75]],"Sí","No")</f>
        <v>No</v>
      </c>
      <c r="N483" s="3">
        <v>0.64</v>
      </c>
      <c r="O483" t="s">
        <v>19</v>
      </c>
    </row>
    <row r="484" spans="1:15" x14ac:dyDescent="0.35">
      <c r="A484" t="s">
        <v>516</v>
      </c>
      <c r="B484" s="1" t="s">
        <v>39</v>
      </c>
      <c r="C484" s="1" t="s">
        <v>40</v>
      </c>
      <c r="D484" s="1" t="s">
        <v>18</v>
      </c>
      <c r="E484" s="2">
        <v>36.86</v>
      </c>
      <c r="F484" s="3">
        <v>5.97</v>
      </c>
      <c r="G484" s="3">
        <v>28.57</v>
      </c>
      <c r="H484" s="4">
        <v>135.54</v>
      </c>
      <c r="I484" s="3">
        <v>88.82</v>
      </c>
      <c r="J484" t="s">
        <v>19</v>
      </c>
      <c r="K484" s="5">
        <v>3.7158099999999998</v>
      </c>
      <c r="L484" s="6" cm="1">
        <f t="array" ref="L484">_xlfn.PERCENTILE.INC(_xlfn._xlws.FILTER(tabla_base[Rendimiento_por_hectarea_ton], tabla_base[tipo_cultivo]=tabla_base[[#This Row],[tipo_cultivo]]), 0.75)</f>
        <v>5.2079399999999998</v>
      </c>
      <c r="M484" s="7" t="str">
        <f>IF(tabla_base[[#This Row],[Rendimiento_por_hectarea_ton]]&gt;tabla_base[[#This Row],[percentil_0,75]],"Sí","No")</f>
        <v>No</v>
      </c>
      <c r="N484" s="3">
        <v>0.83</v>
      </c>
      <c r="O484" t="s">
        <v>20</v>
      </c>
    </row>
    <row r="485" spans="1:15" x14ac:dyDescent="0.35">
      <c r="A485" t="s">
        <v>517</v>
      </c>
      <c r="B485" s="1" t="s">
        <v>22</v>
      </c>
      <c r="C485" s="1" t="s">
        <v>30</v>
      </c>
      <c r="D485" s="1" t="s">
        <v>35</v>
      </c>
      <c r="E485" s="2">
        <v>33.32</v>
      </c>
      <c r="F485" s="3">
        <v>6.36</v>
      </c>
      <c r="G485" s="3">
        <v>24.48</v>
      </c>
      <c r="H485" s="4">
        <v>245.68</v>
      </c>
      <c r="I485" s="3">
        <v>45.15</v>
      </c>
      <c r="J485" t="s">
        <v>25</v>
      </c>
      <c r="K485" s="5">
        <v>2.5949</v>
      </c>
      <c r="L485" s="6" cm="1">
        <f t="array" ref="L485">_xlfn.PERCENTILE.INC(_xlfn._xlws.FILTER(tabla_base[Rendimiento_por_hectarea_ton], tabla_base[tipo_cultivo]=tabla_base[[#This Row],[tipo_cultivo]]), 0.75)</f>
        <v>5.1318025</v>
      </c>
      <c r="M485" s="7" t="str">
        <f>IF(tabla_base[[#This Row],[Rendimiento_por_hectarea_ton]]&gt;tabla_base[[#This Row],[percentil_0,75]],"Sí","No")</f>
        <v>No</v>
      </c>
      <c r="N485" s="3">
        <v>0.65</v>
      </c>
      <c r="O485" t="s">
        <v>44</v>
      </c>
    </row>
    <row r="486" spans="1:15" x14ac:dyDescent="0.35">
      <c r="A486" t="s">
        <v>518</v>
      </c>
      <c r="B486" s="1" t="s">
        <v>22</v>
      </c>
      <c r="C486" s="1" t="s">
        <v>23</v>
      </c>
      <c r="D486" s="1" t="s">
        <v>18</v>
      </c>
      <c r="E486" s="2">
        <v>31.58</v>
      </c>
      <c r="F486" s="3">
        <v>5.68</v>
      </c>
      <c r="G486" s="3">
        <v>16.02</v>
      </c>
      <c r="H486" s="4">
        <v>151.82</v>
      </c>
      <c r="I486" s="3">
        <v>55.32</v>
      </c>
      <c r="J486" t="s">
        <v>25</v>
      </c>
      <c r="K486" s="5">
        <v>3.7082899999999999</v>
      </c>
      <c r="L486" s="6" cm="1">
        <f t="array" ref="L486">_xlfn.PERCENTILE.INC(_xlfn._xlws.FILTER(tabla_base[Rendimiento_por_hectarea_ton], tabla_base[tipo_cultivo]=tabla_base[[#This Row],[tipo_cultivo]]), 0.75)</f>
        <v>5.2079399999999998</v>
      </c>
      <c r="M486" s="7" t="str">
        <f>IF(tabla_base[[#This Row],[Rendimiento_por_hectarea_ton]]&gt;tabla_base[[#This Row],[percentil_0,75]],"Sí","No")</f>
        <v>No</v>
      </c>
      <c r="N486" s="3">
        <v>0.56999999999999995</v>
      </c>
      <c r="O486" t="s">
        <v>20</v>
      </c>
    </row>
    <row r="487" spans="1:15" x14ac:dyDescent="0.35">
      <c r="A487" t="s">
        <v>519</v>
      </c>
      <c r="B487" s="1" t="s">
        <v>22</v>
      </c>
      <c r="C487" s="1" t="s">
        <v>23</v>
      </c>
      <c r="D487" s="1" t="s">
        <v>35</v>
      </c>
      <c r="E487" s="2">
        <v>21.19</v>
      </c>
      <c r="F487" s="3">
        <v>5.6</v>
      </c>
      <c r="G487" s="3">
        <v>15.82</v>
      </c>
      <c r="H487" s="4">
        <v>63.03</v>
      </c>
      <c r="I487" s="3">
        <v>77.239999999999995</v>
      </c>
      <c r="J487" t="s">
        <v>19</v>
      </c>
      <c r="K487" s="5">
        <v>3.0090500000000002</v>
      </c>
      <c r="L487" s="6" cm="1">
        <f t="array" ref="L487">_xlfn.PERCENTILE.INC(_xlfn._xlws.FILTER(tabla_base[Rendimiento_por_hectarea_ton], tabla_base[tipo_cultivo]=tabla_base[[#This Row],[tipo_cultivo]]), 0.75)</f>
        <v>5.1318025</v>
      </c>
      <c r="M487" s="7" t="str">
        <f>IF(tabla_base[[#This Row],[Rendimiento_por_hectarea_ton]]&gt;tabla_base[[#This Row],[percentil_0,75]],"Sí","No")</f>
        <v>No</v>
      </c>
      <c r="N487" s="3">
        <v>0.7</v>
      </c>
      <c r="O487" t="s">
        <v>26</v>
      </c>
    </row>
    <row r="488" spans="1:15" x14ac:dyDescent="0.35">
      <c r="A488" t="s">
        <v>520</v>
      </c>
      <c r="B488" s="1" t="s">
        <v>39</v>
      </c>
      <c r="C488" s="1" t="s">
        <v>40</v>
      </c>
      <c r="D488" s="1" t="s">
        <v>35</v>
      </c>
      <c r="E488" s="2">
        <v>21.59</v>
      </c>
      <c r="F488" s="3">
        <v>6.98</v>
      </c>
      <c r="G488" s="3">
        <v>22.23</v>
      </c>
      <c r="H488" s="4">
        <v>244.7</v>
      </c>
      <c r="I488" s="3">
        <v>66.44</v>
      </c>
      <c r="J488" t="s">
        <v>37</v>
      </c>
      <c r="K488" s="5">
        <v>4.51823</v>
      </c>
      <c r="L488" s="6" cm="1">
        <f t="array" ref="L488">_xlfn.PERCENTILE.INC(_xlfn._xlws.FILTER(tabla_base[Rendimiento_por_hectarea_ton], tabla_base[tipo_cultivo]=tabla_base[[#This Row],[tipo_cultivo]]), 0.75)</f>
        <v>5.1318025</v>
      </c>
      <c r="M488" s="7" t="str">
        <f>IF(tabla_base[[#This Row],[Rendimiento_por_hectarea_ton]]&gt;tabla_base[[#This Row],[percentil_0,75]],"Sí","No")</f>
        <v>No</v>
      </c>
      <c r="N488" s="3">
        <v>0.33</v>
      </c>
      <c r="O488" t="s">
        <v>44</v>
      </c>
    </row>
    <row r="489" spans="1:15" x14ac:dyDescent="0.35">
      <c r="A489" t="s">
        <v>521</v>
      </c>
      <c r="B489" s="1" t="s">
        <v>16</v>
      </c>
      <c r="C489" s="1" t="s">
        <v>23</v>
      </c>
      <c r="D489" s="1" t="s">
        <v>33</v>
      </c>
      <c r="E489" s="2">
        <v>42.39</v>
      </c>
      <c r="F489" s="3">
        <v>5.65</v>
      </c>
      <c r="G489" s="3">
        <v>25.93</v>
      </c>
      <c r="H489" s="4">
        <v>135.72</v>
      </c>
      <c r="I489" s="3">
        <v>76.27</v>
      </c>
      <c r="J489" t="s">
        <v>25</v>
      </c>
      <c r="K489" s="5">
        <v>3.6728499999999999</v>
      </c>
      <c r="L489" s="6" cm="1">
        <f t="array" ref="L489">_xlfn.PERCENTILE.INC(_xlfn._xlws.FILTER(tabla_base[Rendimiento_por_hectarea_ton], tabla_base[tipo_cultivo]=tabla_base[[#This Row],[tipo_cultivo]]), 0.75)</f>
        <v>5.1635450000000001</v>
      </c>
      <c r="M489" s="7" t="str">
        <f>IF(tabla_base[[#This Row],[Rendimiento_por_hectarea_ton]]&gt;tabla_base[[#This Row],[percentil_0,75]],"Sí","No")</f>
        <v>No</v>
      </c>
      <c r="N489" s="3">
        <v>0.4</v>
      </c>
      <c r="O489" t="s">
        <v>19</v>
      </c>
    </row>
    <row r="490" spans="1:15" x14ac:dyDescent="0.35">
      <c r="A490" t="s">
        <v>522</v>
      </c>
      <c r="B490" s="1" t="s">
        <v>22</v>
      </c>
      <c r="C490" s="1" t="s">
        <v>30</v>
      </c>
      <c r="D490" s="1" t="s">
        <v>33</v>
      </c>
      <c r="E490" s="2">
        <v>32.049999999999997</v>
      </c>
      <c r="F490" s="3">
        <v>5.73</v>
      </c>
      <c r="G490" s="3">
        <v>23.72</v>
      </c>
      <c r="H490" s="4">
        <v>170.71</v>
      </c>
      <c r="I490" s="3">
        <v>66.19</v>
      </c>
      <c r="J490" t="s">
        <v>28</v>
      </c>
      <c r="K490" s="5">
        <v>2.1817800000000003</v>
      </c>
      <c r="L490" s="6" cm="1">
        <f t="array" ref="L490">_xlfn.PERCENTILE.INC(_xlfn._xlws.FILTER(tabla_base[Rendimiento_por_hectarea_ton], tabla_base[tipo_cultivo]=tabla_base[[#This Row],[tipo_cultivo]]), 0.75)</f>
        <v>5.1635450000000001</v>
      </c>
      <c r="M490" s="7" t="str">
        <f>IF(tabla_base[[#This Row],[Rendimiento_por_hectarea_ton]]&gt;tabla_base[[#This Row],[percentil_0,75]],"Sí","No")</f>
        <v>No</v>
      </c>
      <c r="N490" s="3">
        <v>0.36</v>
      </c>
      <c r="O490" t="s">
        <v>44</v>
      </c>
    </row>
    <row r="491" spans="1:15" x14ac:dyDescent="0.35">
      <c r="A491" t="s">
        <v>523</v>
      </c>
      <c r="B491" s="1" t="s">
        <v>22</v>
      </c>
      <c r="C491" s="1" t="s">
        <v>23</v>
      </c>
      <c r="D491" s="1" t="s">
        <v>24</v>
      </c>
      <c r="E491" s="2">
        <v>40.46</v>
      </c>
      <c r="F491" s="3">
        <v>7.44</v>
      </c>
      <c r="G491" s="3">
        <v>18.309999999999999</v>
      </c>
      <c r="H491" s="4">
        <v>237.68</v>
      </c>
      <c r="I491" s="3">
        <v>59.21</v>
      </c>
      <c r="J491" t="s">
        <v>19</v>
      </c>
      <c r="K491" s="5">
        <v>4.2875899999999998</v>
      </c>
      <c r="L491" s="6" cm="1">
        <f t="array" ref="L491">_xlfn.PERCENTILE.INC(_xlfn._xlws.FILTER(tabla_base[Rendimiento_por_hectarea_ton], tabla_base[tipo_cultivo]=tabla_base[[#This Row],[tipo_cultivo]]), 0.75)</f>
        <v>5.3984449999999997</v>
      </c>
      <c r="M491" s="7" t="str">
        <f>IF(tabla_base[[#This Row],[Rendimiento_por_hectarea_ton]]&gt;tabla_base[[#This Row],[percentil_0,75]],"Sí","No")</f>
        <v>No</v>
      </c>
      <c r="N491" s="3">
        <v>0.31</v>
      </c>
      <c r="O491" t="s">
        <v>26</v>
      </c>
    </row>
    <row r="492" spans="1:15" x14ac:dyDescent="0.35">
      <c r="A492" t="s">
        <v>524</v>
      </c>
      <c r="B492" s="1" t="s">
        <v>39</v>
      </c>
      <c r="C492" s="1" t="s">
        <v>40</v>
      </c>
      <c r="D492" s="1" t="s">
        <v>24</v>
      </c>
      <c r="E492" s="2">
        <v>19.059999999999999</v>
      </c>
      <c r="F492" s="3">
        <v>7.2</v>
      </c>
      <c r="G492" s="3">
        <v>20.93</v>
      </c>
      <c r="H492" s="4">
        <v>117.13</v>
      </c>
      <c r="I492" s="3">
        <v>45.96</v>
      </c>
      <c r="J492" t="s">
        <v>25</v>
      </c>
      <c r="K492" s="5">
        <v>2.5318899999999998</v>
      </c>
      <c r="L492" s="6" cm="1">
        <f t="array" ref="L492">_xlfn.PERCENTILE.INC(_xlfn._xlws.FILTER(tabla_base[Rendimiento_por_hectarea_ton], tabla_base[tipo_cultivo]=tabla_base[[#This Row],[tipo_cultivo]]), 0.75)</f>
        <v>5.3984449999999997</v>
      </c>
      <c r="M492" s="7" t="str">
        <f>IF(tabla_base[[#This Row],[Rendimiento_por_hectarea_ton]]&gt;tabla_base[[#This Row],[percentil_0,75]],"Sí","No")</f>
        <v>No</v>
      </c>
      <c r="N492" s="3">
        <v>0.72</v>
      </c>
      <c r="O492" t="s">
        <v>26</v>
      </c>
    </row>
    <row r="493" spans="1:15" x14ac:dyDescent="0.35">
      <c r="A493" t="s">
        <v>525</v>
      </c>
      <c r="B493" s="1" t="s">
        <v>16</v>
      </c>
      <c r="C493" s="1" t="s">
        <v>17</v>
      </c>
      <c r="D493" s="1" t="s">
        <v>31</v>
      </c>
      <c r="E493" s="2">
        <v>32.14</v>
      </c>
      <c r="F493" s="3">
        <v>7.44</v>
      </c>
      <c r="G493" s="3">
        <v>21.49</v>
      </c>
      <c r="H493" s="4">
        <v>286.61</v>
      </c>
      <c r="I493" s="3">
        <v>84.2</v>
      </c>
      <c r="J493" t="s">
        <v>25</v>
      </c>
      <c r="K493" s="5">
        <v>4.5038199999999993</v>
      </c>
      <c r="L493" s="6" cm="1">
        <f t="array" ref="L493">_xlfn.PERCENTILE.INC(_xlfn._xlws.FILTER(tabla_base[Rendimiento_por_hectarea_ton], tabla_base[tipo_cultivo]=tabla_base[[#This Row],[tipo_cultivo]]), 0.75)</f>
        <v>5.1742550000000005</v>
      </c>
      <c r="M493" s="7" t="str">
        <f>IF(tabla_base[[#This Row],[Rendimiento_por_hectarea_ton]]&gt;tabla_base[[#This Row],[percentil_0,75]],"Sí","No")</f>
        <v>No</v>
      </c>
      <c r="N493" s="3">
        <v>0.62</v>
      </c>
      <c r="O493" t="s">
        <v>20</v>
      </c>
    </row>
    <row r="494" spans="1:15" x14ac:dyDescent="0.35">
      <c r="A494" t="s">
        <v>526</v>
      </c>
      <c r="B494" s="1" t="s">
        <v>22</v>
      </c>
      <c r="C494" s="1" t="s">
        <v>30</v>
      </c>
      <c r="D494" s="1" t="s">
        <v>18</v>
      </c>
      <c r="E494" s="2">
        <v>28.81</v>
      </c>
      <c r="F494" s="3">
        <v>7.46</v>
      </c>
      <c r="G494" s="3">
        <v>30.56</v>
      </c>
      <c r="H494" s="4">
        <v>245.13</v>
      </c>
      <c r="I494" s="3">
        <v>45.32</v>
      </c>
      <c r="J494" t="s">
        <v>19</v>
      </c>
      <c r="K494" s="5">
        <v>4.2035100000000005</v>
      </c>
      <c r="L494" s="6" cm="1">
        <f t="array" ref="L494">_xlfn.PERCENTILE.INC(_xlfn._xlws.FILTER(tabla_base[Rendimiento_por_hectarea_ton], tabla_base[tipo_cultivo]=tabla_base[[#This Row],[tipo_cultivo]]), 0.75)</f>
        <v>5.2079399999999998</v>
      </c>
      <c r="M494" s="7" t="str">
        <f>IF(tabla_base[[#This Row],[Rendimiento_por_hectarea_ton]]&gt;tabla_base[[#This Row],[percentil_0,75]],"Sí","No")</f>
        <v>No</v>
      </c>
      <c r="N494" s="3">
        <v>0.4</v>
      </c>
      <c r="O494" t="s">
        <v>44</v>
      </c>
    </row>
    <row r="495" spans="1:15" x14ac:dyDescent="0.35">
      <c r="A495" t="s">
        <v>527</v>
      </c>
      <c r="B495" s="1" t="s">
        <v>16</v>
      </c>
      <c r="C495" s="1" t="s">
        <v>23</v>
      </c>
      <c r="D495" s="1" t="s">
        <v>33</v>
      </c>
      <c r="E495" s="2">
        <v>18.11</v>
      </c>
      <c r="F495" s="3">
        <v>6.95</v>
      </c>
      <c r="G495" s="3">
        <v>22.37</v>
      </c>
      <c r="H495" s="4">
        <v>275.54000000000002</v>
      </c>
      <c r="I495" s="3">
        <v>44.68</v>
      </c>
      <c r="J495" t="s">
        <v>25</v>
      </c>
      <c r="K495" s="5">
        <v>4.5902599999999998</v>
      </c>
      <c r="L495" s="6" cm="1">
        <f t="array" ref="L495">_xlfn.PERCENTILE.INC(_xlfn._xlws.FILTER(tabla_base[Rendimiento_por_hectarea_ton], tabla_base[tipo_cultivo]=tabla_base[[#This Row],[tipo_cultivo]]), 0.75)</f>
        <v>5.1635450000000001</v>
      </c>
      <c r="M495" s="7" t="str">
        <f>IF(tabla_base[[#This Row],[Rendimiento_por_hectarea_ton]]&gt;tabla_base[[#This Row],[percentil_0,75]],"Sí","No")</f>
        <v>No</v>
      </c>
      <c r="N495" s="3">
        <v>0.72</v>
      </c>
      <c r="O495" t="s">
        <v>44</v>
      </c>
    </row>
    <row r="496" spans="1:15" x14ac:dyDescent="0.35">
      <c r="A496" t="s">
        <v>528</v>
      </c>
      <c r="B496" s="1" t="s">
        <v>16</v>
      </c>
      <c r="C496" s="1" t="s">
        <v>17</v>
      </c>
      <c r="D496" s="1" t="s">
        <v>35</v>
      </c>
      <c r="E496" s="2">
        <v>12.52</v>
      </c>
      <c r="F496" s="3">
        <v>5.99</v>
      </c>
      <c r="G496" s="3">
        <v>33.18</v>
      </c>
      <c r="H496" s="4">
        <v>292.60000000000002</v>
      </c>
      <c r="I496" s="3">
        <v>45.01</v>
      </c>
      <c r="J496" t="s">
        <v>28</v>
      </c>
      <c r="K496" s="5">
        <v>5.3062500000000004</v>
      </c>
      <c r="L496" s="6" cm="1">
        <f t="array" ref="L496">_xlfn.PERCENTILE.INC(_xlfn._xlws.FILTER(tabla_base[Rendimiento_por_hectarea_ton], tabla_base[tipo_cultivo]=tabla_base[[#This Row],[tipo_cultivo]]), 0.75)</f>
        <v>5.1318025</v>
      </c>
      <c r="M496" s="7" t="str">
        <f>IF(tabla_base[[#This Row],[Rendimiento_por_hectarea_ton]]&gt;tabla_base[[#This Row],[percentil_0,75]],"Sí","No")</f>
        <v>Sí</v>
      </c>
      <c r="N496" s="3">
        <v>0.33</v>
      </c>
      <c r="O496" t="s">
        <v>20</v>
      </c>
    </row>
    <row r="497" spans="1:15" x14ac:dyDescent="0.35">
      <c r="A497" t="s">
        <v>529</v>
      </c>
      <c r="B497" s="1" t="s">
        <v>22</v>
      </c>
      <c r="C497" s="1" t="s">
        <v>30</v>
      </c>
      <c r="D497" s="1" t="s">
        <v>35</v>
      </c>
      <c r="E497" s="2">
        <v>42.85</v>
      </c>
      <c r="F497" s="3">
        <v>6.7</v>
      </c>
      <c r="G497" s="3">
        <v>30.85</v>
      </c>
      <c r="H497" s="4">
        <v>52.35</v>
      </c>
      <c r="I497" s="3">
        <v>79.58</v>
      </c>
      <c r="J497" t="s">
        <v>37</v>
      </c>
      <c r="K497" s="5">
        <v>4.2513999999999994</v>
      </c>
      <c r="L497" s="6" cm="1">
        <f t="array" ref="L497">_xlfn.PERCENTILE.INC(_xlfn._xlws.FILTER(tabla_base[Rendimiento_por_hectarea_ton], tabla_base[tipo_cultivo]=tabla_base[[#This Row],[tipo_cultivo]]), 0.75)</f>
        <v>5.1318025</v>
      </c>
      <c r="M497" s="7" t="str">
        <f>IF(tabla_base[[#This Row],[Rendimiento_por_hectarea_ton]]&gt;tabla_base[[#This Row],[percentil_0,75]],"Sí","No")</f>
        <v>No</v>
      </c>
      <c r="N497" s="3">
        <v>0.46</v>
      </c>
      <c r="O497" t="s">
        <v>19</v>
      </c>
    </row>
    <row r="498" spans="1:15" x14ac:dyDescent="0.35">
      <c r="A498" t="s">
        <v>530</v>
      </c>
      <c r="B498" s="1" t="s">
        <v>16</v>
      </c>
      <c r="C498" s="1" t="s">
        <v>17</v>
      </c>
      <c r="D498" s="1" t="s">
        <v>24</v>
      </c>
      <c r="E498" s="2">
        <v>34.22</v>
      </c>
      <c r="F498" s="3">
        <v>6.75</v>
      </c>
      <c r="G498" s="3">
        <v>17.46</v>
      </c>
      <c r="H498" s="4">
        <v>256.23</v>
      </c>
      <c r="I498" s="3">
        <v>45.14</v>
      </c>
      <c r="J498" t="s">
        <v>19</v>
      </c>
      <c r="K498" s="5">
        <v>3.7085400000000002</v>
      </c>
      <c r="L498" s="6" cm="1">
        <f t="array" ref="L498">_xlfn.PERCENTILE.INC(_xlfn._xlws.FILTER(tabla_base[Rendimiento_por_hectarea_ton], tabla_base[tipo_cultivo]=tabla_base[[#This Row],[tipo_cultivo]]), 0.75)</f>
        <v>5.3984449999999997</v>
      </c>
      <c r="M498" s="7" t="str">
        <f>IF(tabla_base[[#This Row],[Rendimiento_por_hectarea_ton]]&gt;tabla_base[[#This Row],[percentil_0,75]],"Sí","No")</f>
        <v>No</v>
      </c>
      <c r="N498" s="3">
        <v>0.53</v>
      </c>
      <c r="O498" t="s">
        <v>44</v>
      </c>
    </row>
    <row r="499" spans="1:15" x14ac:dyDescent="0.35">
      <c r="A499" t="s">
        <v>531</v>
      </c>
      <c r="B499" s="1" t="s">
        <v>16</v>
      </c>
      <c r="C499" s="1" t="s">
        <v>17</v>
      </c>
      <c r="D499" s="1" t="s">
        <v>33</v>
      </c>
      <c r="E499" s="2">
        <v>15.93</v>
      </c>
      <c r="F499" s="3">
        <v>5.72</v>
      </c>
      <c r="G499" s="3">
        <v>17.03</v>
      </c>
      <c r="H499" s="4">
        <v>288.95999999999998</v>
      </c>
      <c r="I499" s="3">
        <v>57.87</v>
      </c>
      <c r="J499" t="s">
        <v>28</v>
      </c>
      <c r="K499" s="5">
        <v>2.6044099999999997</v>
      </c>
      <c r="L499" s="6" cm="1">
        <f t="array" ref="L499">_xlfn.PERCENTILE.INC(_xlfn._xlws.FILTER(tabla_base[Rendimiento_por_hectarea_ton], tabla_base[tipo_cultivo]=tabla_base[[#This Row],[tipo_cultivo]]), 0.75)</f>
        <v>5.1635450000000001</v>
      </c>
      <c r="M499" s="7" t="str">
        <f>IF(tabla_base[[#This Row],[Rendimiento_por_hectarea_ton]]&gt;tabla_base[[#This Row],[percentil_0,75]],"Sí","No")</f>
        <v>No</v>
      </c>
      <c r="N499" s="3">
        <v>0.86</v>
      </c>
      <c r="O499" t="s">
        <v>44</v>
      </c>
    </row>
    <row r="500" spans="1:15" x14ac:dyDescent="0.35">
      <c r="A500" t="s">
        <v>532</v>
      </c>
      <c r="B500" s="1" t="s">
        <v>22</v>
      </c>
      <c r="C500" s="1" t="s">
        <v>30</v>
      </c>
      <c r="D500" s="1" t="s">
        <v>24</v>
      </c>
      <c r="E500" s="2">
        <v>38.61</v>
      </c>
      <c r="F500" s="3">
        <v>6.2</v>
      </c>
      <c r="G500" s="3">
        <v>17.079999999999998</v>
      </c>
      <c r="H500" s="4">
        <v>279.06</v>
      </c>
      <c r="I500" s="3">
        <v>73.09</v>
      </c>
      <c r="J500" t="s">
        <v>28</v>
      </c>
      <c r="K500" s="5">
        <v>2.58636</v>
      </c>
      <c r="L500" s="6" cm="1">
        <f t="array" ref="L500">_xlfn.PERCENTILE.INC(_xlfn._xlws.FILTER(tabla_base[Rendimiento_por_hectarea_ton], tabla_base[tipo_cultivo]=tabla_base[[#This Row],[tipo_cultivo]]), 0.75)</f>
        <v>5.3984449999999997</v>
      </c>
      <c r="M500" s="7" t="str">
        <f>IF(tabla_base[[#This Row],[Rendimiento_por_hectarea_ton]]&gt;tabla_base[[#This Row],[percentil_0,75]],"Sí","No")</f>
        <v>No</v>
      </c>
      <c r="N500" s="3">
        <v>0.35</v>
      </c>
      <c r="O500" t="s">
        <v>26</v>
      </c>
    </row>
    <row r="501" spans="1:15" ht="12.5" customHeight="1" x14ac:dyDescent="0.35">
      <c r="A501" t="s">
        <v>533</v>
      </c>
      <c r="B501" s="1" t="s">
        <v>16</v>
      </c>
      <c r="C501" s="1" t="s">
        <v>17</v>
      </c>
      <c r="D501" s="1" t="s">
        <v>18</v>
      </c>
      <c r="E501" s="2">
        <v>30.22</v>
      </c>
      <c r="F501" s="3">
        <v>7.42</v>
      </c>
      <c r="G501" s="3">
        <v>20.57</v>
      </c>
      <c r="H501" s="4">
        <v>72.61</v>
      </c>
      <c r="I501" s="3">
        <v>89.74</v>
      </c>
      <c r="J501" t="s">
        <v>19</v>
      </c>
      <c r="K501" s="5">
        <v>5.8914</v>
      </c>
      <c r="L501" s="6" cm="1">
        <f t="array" ref="L501">_xlfn.PERCENTILE.INC(_xlfn._xlws.FILTER(tabla_base[Rendimiento_por_hectarea_ton], tabla_base[tipo_cultivo]=tabla_base[[#This Row],[tipo_cultivo]]), 0.75)</f>
        <v>5.2079399999999998</v>
      </c>
      <c r="M501" s="7" t="str">
        <f>IF(tabla_base[[#This Row],[Rendimiento_por_hectarea_ton]]&gt;tabla_base[[#This Row],[percentil_0,75]],"Sí","No")</f>
        <v>Sí</v>
      </c>
      <c r="N501" s="3">
        <v>0.85</v>
      </c>
      <c r="O501" t="s">
        <v>26</v>
      </c>
    </row>
    <row r="502" spans="1:15" x14ac:dyDescent="0.35">
      <c r="A502" t="s">
        <v>534</v>
      </c>
      <c r="B502" t="s">
        <v>22</v>
      </c>
      <c r="C502" t="s">
        <v>17</v>
      </c>
      <c r="D502" t="s">
        <v>35</v>
      </c>
      <c r="E502" s="3">
        <v>27.96</v>
      </c>
      <c r="F502" s="3">
        <v>6.83</v>
      </c>
      <c r="G502" s="3">
        <v>21.13</v>
      </c>
      <c r="H502" s="4">
        <v>197.57</v>
      </c>
      <c r="I502" s="3">
        <v>72.010000000000005</v>
      </c>
      <c r="J502" t="s">
        <v>19</v>
      </c>
      <c r="K502" s="4">
        <v>2.57856</v>
      </c>
      <c r="L502" s="6" cm="1">
        <f t="array" ref="L502">_xlfn.PERCENTILE.INC(_xlfn._xlws.FILTER(tabla_base[Rendimiento_por_hectarea_ton], tabla_base[tipo_cultivo]=tabla_base[[#This Row],[tipo_cultivo]]), 0.75)</f>
        <v>5.1318025</v>
      </c>
      <c r="M502" s="7" t="str">
        <f>IF(tabla_base[[#This Row],[Rendimiento_por_hectarea_ton]]&gt;tabla_base[[#This Row],[percentil_0,75]],"Sí","No")</f>
        <v>No</v>
      </c>
      <c r="N502" s="3">
        <v>0.84</v>
      </c>
      <c r="O502" t="s">
        <v>20</v>
      </c>
    </row>
    <row r="503" spans="1:15" x14ac:dyDescent="0.35">
      <c r="A503" t="s">
        <v>535</v>
      </c>
      <c r="B503" t="s">
        <v>16</v>
      </c>
      <c r="C503" t="s">
        <v>40</v>
      </c>
      <c r="D503" t="s">
        <v>33</v>
      </c>
      <c r="E503" s="3">
        <v>25.73</v>
      </c>
      <c r="F503" s="3">
        <v>6.51</v>
      </c>
      <c r="G503" s="3">
        <v>28.18</v>
      </c>
      <c r="H503" s="4">
        <v>122.95</v>
      </c>
      <c r="I503" s="3">
        <v>55.45</v>
      </c>
      <c r="J503" t="s">
        <v>19</v>
      </c>
      <c r="K503" s="4">
        <v>4.6926699999999997</v>
      </c>
      <c r="L503" s="6" cm="1">
        <f t="array" ref="L503">_xlfn.PERCENTILE.INC(_xlfn._xlws.FILTER(tabla_base[Rendimiento_por_hectarea_ton], tabla_base[tipo_cultivo]=tabla_base[[#This Row],[tipo_cultivo]]), 0.75)</f>
        <v>5.1635450000000001</v>
      </c>
      <c r="M503" s="7" t="str">
        <f>IF(tabla_base[[#This Row],[Rendimiento_por_hectarea_ton]]&gt;tabla_base[[#This Row],[percentil_0,75]],"Sí","No")</f>
        <v>No</v>
      </c>
      <c r="N503" s="3">
        <v>0.72</v>
      </c>
      <c r="O503" t="s">
        <v>26</v>
      </c>
    </row>
    <row r="504" spans="1:15" x14ac:dyDescent="0.35">
      <c r="A504" t="s">
        <v>536</v>
      </c>
      <c r="B504" t="s">
        <v>16</v>
      </c>
      <c r="C504" t="s">
        <v>23</v>
      </c>
      <c r="D504" t="s">
        <v>35</v>
      </c>
      <c r="E504" s="3">
        <v>33.35</v>
      </c>
      <c r="F504" s="3">
        <v>6.48</v>
      </c>
      <c r="G504" s="3">
        <v>29.08</v>
      </c>
      <c r="H504" s="4">
        <v>91.26</v>
      </c>
      <c r="I504" s="3">
        <v>84.27</v>
      </c>
      <c r="J504" t="s">
        <v>25</v>
      </c>
      <c r="K504" s="4">
        <v>6.2065999999999999</v>
      </c>
      <c r="L504" s="6" cm="1">
        <f t="array" ref="L504">_xlfn.PERCENTILE.INC(_xlfn._xlws.FILTER(tabla_base[Rendimiento_por_hectarea_ton], tabla_base[tipo_cultivo]=tabla_base[[#This Row],[tipo_cultivo]]), 0.75)</f>
        <v>5.1318025</v>
      </c>
      <c r="M504" s="7" t="str">
        <f>IF(tabla_base[[#This Row],[Rendimiento_por_hectarea_ton]]&gt;tabla_base[[#This Row],[percentil_0,75]],"Sí","No")</f>
        <v>Sí</v>
      </c>
      <c r="N504" s="3">
        <v>0.71</v>
      </c>
      <c r="O504" t="s">
        <v>26</v>
      </c>
    </row>
    <row r="505" spans="1:15" x14ac:dyDescent="0.35">
      <c r="A505" t="s">
        <v>537</v>
      </c>
      <c r="B505" t="s">
        <v>22</v>
      </c>
      <c r="C505" t="s">
        <v>23</v>
      </c>
      <c r="D505" t="s">
        <v>31</v>
      </c>
      <c r="E505" s="3">
        <v>31.63</v>
      </c>
      <c r="F505" s="3">
        <v>6.13</v>
      </c>
      <c r="G505" s="3">
        <v>31.62</v>
      </c>
      <c r="H505" s="4">
        <v>182.23</v>
      </c>
      <c r="I505" s="3">
        <v>61.73</v>
      </c>
      <c r="J505" t="s">
        <v>37</v>
      </c>
      <c r="K505" s="4">
        <v>3.40733</v>
      </c>
      <c r="L505" s="6" cm="1">
        <f t="array" ref="L505">_xlfn.PERCENTILE.INC(_xlfn._xlws.FILTER(tabla_base[Rendimiento_por_hectarea_ton], tabla_base[tipo_cultivo]=tabla_base[[#This Row],[tipo_cultivo]]), 0.75)</f>
        <v>5.1742550000000005</v>
      </c>
      <c r="M505" s="7" t="str">
        <f>IF(tabla_base[[#This Row],[Rendimiento_por_hectarea_ton]]&gt;tabla_base[[#This Row],[percentil_0,75]],"Sí","No")</f>
        <v>No</v>
      </c>
      <c r="N505" s="3">
        <v>0.74</v>
      </c>
      <c r="O505" t="s">
        <v>20</v>
      </c>
    </row>
    <row r="506" spans="1:15" x14ac:dyDescent="0.35">
      <c r="A506" t="s">
        <v>538</v>
      </c>
      <c r="B506" t="s">
        <v>22</v>
      </c>
      <c r="C506" t="s">
        <v>23</v>
      </c>
      <c r="D506" t="s">
        <v>35</v>
      </c>
      <c r="E506" s="3">
        <v>37.71</v>
      </c>
      <c r="F506" s="3">
        <v>7.09</v>
      </c>
      <c r="G506" s="3">
        <v>19.03</v>
      </c>
      <c r="H506" s="4">
        <v>61.65</v>
      </c>
      <c r="I506" s="3">
        <v>58.07</v>
      </c>
      <c r="J506" t="s">
        <v>37</v>
      </c>
      <c r="K506" s="4">
        <v>3.8881399999999999</v>
      </c>
      <c r="L506" s="6" cm="1">
        <f t="array" ref="L506">_xlfn.PERCENTILE.INC(_xlfn._xlws.FILTER(tabla_base[Rendimiento_por_hectarea_ton], tabla_base[tipo_cultivo]=tabla_base[[#This Row],[tipo_cultivo]]), 0.75)</f>
        <v>5.1318025</v>
      </c>
      <c r="M506" s="7" t="str">
        <f>IF(tabla_base[[#This Row],[Rendimiento_por_hectarea_ton]]&gt;tabla_base[[#This Row],[percentil_0,75]],"Sí","No")</f>
        <v>No</v>
      </c>
      <c r="N506" s="3">
        <v>0.55000000000000004</v>
      </c>
      <c r="O506" t="s">
        <v>19</v>
      </c>
    </row>
    <row r="507" spans="1:15" x14ac:dyDescent="0.35">
      <c r="A507" t="s">
        <v>539</v>
      </c>
      <c r="B507" t="s">
        <v>16</v>
      </c>
      <c r="C507" t="s">
        <v>17</v>
      </c>
      <c r="D507" t="s">
        <v>18</v>
      </c>
      <c r="E507" s="3">
        <v>21.49</v>
      </c>
      <c r="F507" s="3">
        <v>5.97</v>
      </c>
      <c r="G507" s="3">
        <v>28.49</v>
      </c>
      <c r="H507" s="4">
        <v>283.01</v>
      </c>
      <c r="I507" s="3">
        <v>71.430000000000007</v>
      </c>
      <c r="J507" t="s">
        <v>28</v>
      </c>
      <c r="K507" s="4">
        <v>4.9069500000000001</v>
      </c>
      <c r="L507" s="6" cm="1">
        <f t="array" ref="L507">_xlfn.PERCENTILE.INC(_xlfn._xlws.FILTER(tabla_base[Rendimiento_por_hectarea_ton], tabla_base[tipo_cultivo]=tabla_base[[#This Row],[tipo_cultivo]]), 0.75)</f>
        <v>5.2079399999999998</v>
      </c>
      <c r="M507" s="7" t="str">
        <f>IF(tabla_base[[#This Row],[Rendimiento_por_hectarea_ton]]&gt;tabla_base[[#This Row],[percentil_0,75]],"Sí","No")</f>
        <v>No</v>
      </c>
      <c r="N507" s="3">
        <v>0.71</v>
      </c>
      <c r="O507" t="s">
        <v>19</v>
      </c>
    </row>
    <row r="508" spans="1:15" x14ac:dyDescent="0.35">
      <c r="A508" t="s">
        <v>540</v>
      </c>
      <c r="B508" t="s">
        <v>22</v>
      </c>
      <c r="C508" t="s">
        <v>30</v>
      </c>
      <c r="D508" t="s">
        <v>35</v>
      </c>
      <c r="E508" s="3">
        <v>17.12</v>
      </c>
      <c r="F508" s="3">
        <v>6.9</v>
      </c>
      <c r="G508" s="3">
        <v>31.97</v>
      </c>
      <c r="H508" s="4">
        <v>136.88</v>
      </c>
      <c r="I508" s="3">
        <v>56.64</v>
      </c>
      <c r="J508" t="s">
        <v>19</v>
      </c>
      <c r="K508" s="4">
        <v>3.9259900000000001</v>
      </c>
      <c r="L508" s="6" cm="1">
        <f t="array" ref="L508">_xlfn.PERCENTILE.INC(_xlfn._xlws.FILTER(tabla_base[Rendimiento_por_hectarea_ton], tabla_base[tipo_cultivo]=tabla_base[[#This Row],[tipo_cultivo]]), 0.75)</f>
        <v>5.1318025</v>
      </c>
      <c r="M508" s="7" t="str">
        <f>IF(tabla_base[[#This Row],[Rendimiento_por_hectarea_ton]]&gt;tabla_base[[#This Row],[percentil_0,75]],"Sí","No")</f>
        <v>No</v>
      </c>
      <c r="N508" s="3">
        <v>0.88</v>
      </c>
      <c r="O508" t="s">
        <v>19</v>
      </c>
    </row>
    <row r="509" spans="1:15" x14ac:dyDescent="0.35">
      <c r="A509" t="s">
        <v>541</v>
      </c>
      <c r="B509" t="s">
        <v>16</v>
      </c>
      <c r="C509" t="s">
        <v>23</v>
      </c>
      <c r="D509" t="s">
        <v>18</v>
      </c>
      <c r="E509" s="3">
        <v>25.71</v>
      </c>
      <c r="F509" s="3">
        <v>6.94</v>
      </c>
      <c r="G509" s="3">
        <v>27.57</v>
      </c>
      <c r="H509" s="4">
        <v>150.28</v>
      </c>
      <c r="I509" s="3">
        <v>86.25</v>
      </c>
      <c r="J509" t="s">
        <v>25</v>
      </c>
      <c r="K509" s="4">
        <v>2.5164800000000001</v>
      </c>
      <c r="L509" s="6" cm="1">
        <f t="array" ref="L509">_xlfn.PERCENTILE.INC(_xlfn._xlws.FILTER(tabla_base[Rendimiento_por_hectarea_ton], tabla_base[tipo_cultivo]=tabla_base[[#This Row],[tipo_cultivo]]), 0.75)</f>
        <v>5.2079399999999998</v>
      </c>
      <c r="M509" s="7" t="str">
        <f>IF(tabla_base[[#This Row],[Rendimiento_por_hectarea_ton]]&gt;tabla_base[[#This Row],[percentil_0,75]],"Sí","No")</f>
        <v>No</v>
      </c>
      <c r="N509" s="3">
        <v>0.5</v>
      </c>
      <c r="O509" t="s">
        <v>26</v>
      </c>
    </row>
    <row r="510" spans="1:15" x14ac:dyDescent="0.35">
      <c r="A510" t="s">
        <v>542</v>
      </c>
      <c r="B510" t="s">
        <v>16</v>
      </c>
      <c r="C510" t="s">
        <v>17</v>
      </c>
      <c r="D510" t="s">
        <v>33</v>
      </c>
      <c r="E510" s="3">
        <v>19.149999999999999</v>
      </c>
      <c r="F510" s="3">
        <v>5.78</v>
      </c>
      <c r="G510" s="3">
        <v>25.21</v>
      </c>
      <c r="H510" s="4">
        <v>153.53</v>
      </c>
      <c r="I510" s="3">
        <v>86.79</v>
      </c>
      <c r="J510" t="s">
        <v>25</v>
      </c>
      <c r="K510" s="4">
        <v>5.5071599999999998</v>
      </c>
      <c r="L510" s="6" cm="1">
        <f t="array" ref="L510">_xlfn.PERCENTILE.INC(_xlfn._xlws.FILTER(tabla_base[Rendimiento_por_hectarea_ton], tabla_base[tipo_cultivo]=tabla_base[[#This Row],[tipo_cultivo]]), 0.75)</f>
        <v>5.1635450000000001</v>
      </c>
      <c r="M510" s="7" t="str">
        <f>IF(tabla_base[[#This Row],[Rendimiento_por_hectarea_ton]]&gt;tabla_base[[#This Row],[percentil_0,75]],"Sí","No")</f>
        <v>Sí</v>
      </c>
      <c r="N510" s="3">
        <v>0.81</v>
      </c>
      <c r="O510" t="s">
        <v>19</v>
      </c>
    </row>
    <row r="511" spans="1:15" x14ac:dyDescent="0.35">
      <c r="A511" t="s">
        <v>543</v>
      </c>
      <c r="B511" t="s">
        <v>544</v>
      </c>
      <c r="C511" t="s">
        <v>30</v>
      </c>
      <c r="D511" t="s">
        <v>31</v>
      </c>
      <c r="E511" s="3">
        <v>26.19</v>
      </c>
      <c r="F511" s="3">
        <v>6.41</v>
      </c>
      <c r="G511" s="3">
        <v>30.67</v>
      </c>
      <c r="H511" s="4">
        <v>148.74</v>
      </c>
      <c r="I511" s="3">
        <v>79.38</v>
      </c>
      <c r="J511" t="s">
        <v>19</v>
      </c>
      <c r="K511" s="4">
        <v>4.1664500000000002</v>
      </c>
      <c r="L511" s="6" cm="1">
        <f t="array" ref="L511">_xlfn.PERCENTILE.INC(_xlfn._xlws.FILTER(tabla_base[Rendimiento_por_hectarea_ton], tabla_base[tipo_cultivo]=tabla_base[[#This Row],[tipo_cultivo]]), 0.75)</f>
        <v>5.1742550000000005</v>
      </c>
      <c r="M511" s="7" t="str">
        <f>IF(tabla_base[[#This Row],[Rendimiento_por_hectarea_ton]]&gt;tabla_base[[#This Row],[percentil_0,75]],"Sí","No")</f>
        <v>No</v>
      </c>
      <c r="N511" s="3">
        <v>0.78</v>
      </c>
      <c r="O511" t="s">
        <v>20</v>
      </c>
    </row>
    <row r="512" spans="1:15" x14ac:dyDescent="0.35">
      <c r="A512" t="s">
        <v>545</v>
      </c>
      <c r="B512" t="s">
        <v>22</v>
      </c>
      <c r="C512" t="s">
        <v>23</v>
      </c>
      <c r="D512" t="s">
        <v>33</v>
      </c>
      <c r="E512" s="3">
        <v>39.82</v>
      </c>
      <c r="F512" s="3">
        <v>6.96</v>
      </c>
      <c r="G512" s="3">
        <v>27.35</v>
      </c>
      <c r="H512" s="4">
        <v>245.74</v>
      </c>
      <c r="I512" s="3">
        <v>51.67</v>
      </c>
      <c r="J512" t="s">
        <v>25</v>
      </c>
      <c r="K512" s="4">
        <v>3.4426399999999999</v>
      </c>
      <c r="L512" s="6" cm="1">
        <f t="array" ref="L512">_xlfn.PERCENTILE.INC(_xlfn._xlws.FILTER(tabla_base[Rendimiento_por_hectarea_ton], tabla_base[tipo_cultivo]=tabla_base[[#This Row],[tipo_cultivo]]), 0.75)</f>
        <v>5.1635450000000001</v>
      </c>
      <c r="M512" s="7" t="str">
        <f>IF(tabla_base[[#This Row],[Rendimiento_por_hectarea_ton]]&gt;tabla_base[[#This Row],[percentil_0,75]],"Sí","No")</f>
        <v>No</v>
      </c>
      <c r="N512" s="3">
        <v>0.75</v>
      </c>
      <c r="O512" t="s">
        <v>20</v>
      </c>
    </row>
    <row r="513" spans="1:15" x14ac:dyDescent="0.35">
      <c r="A513" t="s">
        <v>546</v>
      </c>
      <c r="B513" t="s">
        <v>544</v>
      </c>
      <c r="C513" t="s">
        <v>23</v>
      </c>
      <c r="D513" t="s">
        <v>547</v>
      </c>
      <c r="E513" s="3">
        <v>16.170000000000002</v>
      </c>
      <c r="F513" s="3">
        <v>6.21</v>
      </c>
      <c r="G513" s="3">
        <v>20.7</v>
      </c>
      <c r="H513" s="4">
        <v>67.3</v>
      </c>
      <c r="I513" s="3">
        <v>84.28</v>
      </c>
      <c r="J513" t="s">
        <v>25</v>
      </c>
      <c r="K513" s="4">
        <v>2.5679799999999999</v>
      </c>
      <c r="L513" s="6" cm="1">
        <f t="array" ref="L513">_xlfn.PERCENTILE.INC(_xlfn._xlws.FILTER(tabla_base[Rendimiento_por_hectarea_ton], tabla_base[tipo_cultivo]=tabla_base[[#This Row],[tipo_cultivo]]), 0.75)</f>
        <v>5.2323700000000004</v>
      </c>
      <c r="M513" s="7" t="str">
        <f>IF(tabla_base[[#This Row],[Rendimiento_por_hectarea_ton]]&gt;tabla_base[[#This Row],[percentil_0,75]],"Sí","No")</f>
        <v>No</v>
      </c>
      <c r="N513" s="3">
        <v>0.71</v>
      </c>
      <c r="O513" t="s">
        <v>20</v>
      </c>
    </row>
    <row r="514" spans="1:15" x14ac:dyDescent="0.35">
      <c r="A514" t="s">
        <v>548</v>
      </c>
      <c r="B514" t="s">
        <v>22</v>
      </c>
      <c r="C514" t="s">
        <v>30</v>
      </c>
      <c r="D514" t="s">
        <v>33</v>
      </c>
      <c r="E514" s="3">
        <v>17.84</v>
      </c>
      <c r="F514" s="3">
        <v>6.96</v>
      </c>
      <c r="G514" s="3">
        <v>19.96</v>
      </c>
      <c r="H514" s="4">
        <v>77.39</v>
      </c>
      <c r="I514" s="3">
        <v>87.47</v>
      </c>
      <c r="J514" t="s">
        <v>28</v>
      </c>
      <c r="K514" s="4">
        <v>4.3532999999999999</v>
      </c>
      <c r="L514" s="6" cm="1">
        <f t="array" ref="L514">_xlfn.PERCENTILE.INC(_xlfn._xlws.FILTER(tabla_base[Rendimiento_por_hectarea_ton], tabla_base[tipo_cultivo]=tabla_base[[#This Row],[tipo_cultivo]]), 0.75)</f>
        <v>5.1635450000000001</v>
      </c>
      <c r="M514" s="7" t="str">
        <f>IF(tabla_base[[#This Row],[Rendimiento_por_hectarea_ton]]&gt;tabla_base[[#This Row],[percentil_0,75]],"Sí","No")</f>
        <v>No</v>
      </c>
      <c r="N514" s="3">
        <v>0.84</v>
      </c>
      <c r="O514" t="s">
        <v>20</v>
      </c>
    </row>
    <row r="515" spans="1:15" x14ac:dyDescent="0.35">
      <c r="A515" t="s">
        <v>549</v>
      </c>
      <c r="B515" t="s">
        <v>16</v>
      </c>
      <c r="C515" t="s">
        <v>17</v>
      </c>
      <c r="D515" t="s">
        <v>35</v>
      </c>
      <c r="E515" s="3">
        <v>25.58</v>
      </c>
      <c r="F515" s="3">
        <v>6.43</v>
      </c>
      <c r="G515" s="3">
        <v>24.05</v>
      </c>
      <c r="H515" s="4">
        <v>215.31</v>
      </c>
      <c r="I515" s="3">
        <v>83.73</v>
      </c>
      <c r="J515" t="s">
        <v>25</v>
      </c>
      <c r="K515" s="4">
        <v>4.3665799999999999</v>
      </c>
      <c r="L515" s="6" cm="1">
        <f t="array" ref="L515">_xlfn.PERCENTILE.INC(_xlfn._xlws.FILTER(tabla_base[Rendimiento_por_hectarea_ton], tabla_base[tipo_cultivo]=tabla_base[[#This Row],[tipo_cultivo]]), 0.75)</f>
        <v>5.1318025</v>
      </c>
      <c r="M515" s="7" t="str">
        <f>IF(tabla_base[[#This Row],[Rendimiento_por_hectarea_ton]]&gt;tabla_base[[#This Row],[percentil_0,75]],"Sí","No")</f>
        <v>No</v>
      </c>
      <c r="N515" s="3">
        <v>0.54</v>
      </c>
      <c r="O515" t="s">
        <v>20</v>
      </c>
    </row>
    <row r="516" spans="1:15" x14ac:dyDescent="0.35">
      <c r="A516" t="s">
        <v>550</v>
      </c>
      <c r="B516" t="s">
        <v>16</v>
      </c>
      <c r="C516" t="s">
        <v>30</v>
      </c>
      <c r="D516" t="s">
        <v>31</v>
      </c>
      <c r="E516" s="3">
        <v>34.979999999999997</v>
      </c>
      <c r="F516" s="3">
        <v>7.31</v>
      </c>
      <c r="G516" s="3">
        <v>25.5</v>
      </c>
      <c r="H516" s="4">
        <v>150.93</v>
      </c>
      <c r="I516" s="3">
        <v>51.98</v>
      </c>
      <c r="J516" t="s">
        <v>28</v>
      </c>
      <c r="K516" s="4">
        <v>4.2428499999999998</v>
      </c>
      <c r="L516" s="6" cm="1">
        <f t="array" ref="L516">_xlfn.PERCENTILE.INC(_xlfn._xlws.FILTER(tabla_base[Rendimiento_por_hectarea_ton], tabla_base[tipo_cultivo]=tabla_base[[#This Row],[tipo_cultivo]]), 0.75)</f>
        <v>5.1742550000000005</v>
      </c>
      <c r="M516" s="7" t="str">
        <f>IF(tabla_base[[#This Row],[Rendimiento_por_hectarea_ton]]&gt;tabla_base[[#This Row],[percentil_0,75]],"Sí","No")</f>
        <v>No</v>
      </c>
      <c r="N516" s="3">
        <v>0.62</v>
      </c>
      <c r="O516" t="s">
        <v>19</v>
      </c>
    </row>
    <row r="517" spans="1:15" x14ac:dyDescent="0.35">
      <c r="A517" t="s">
        <v>551</v>
      </c>
      <c r="B517" t="s">
        <v>16</v>
      </c>
      <c r="C517" t="s">
        <v>30</v>
      </c>
      <c r="D517" t="s">
        <v>547</v>
      </c>
      <c r="E517" s="3">
        <v>19.920000000000002</v>
      </c>
      <c r="F517" s="3">
        <v>6.53</v>
      </c>
      <c r="G517" s="3">
        <v>27.57</v>
      </c>
      <c r="H517" s="4">
        <v>165.25</v>
      </c>
      <c r="I517" s="3">
        <v>67.55</v>
      </c>
      <c r="J517" t="s">
        <v>37</v>
      </c>
      <c r="K517" s="4">
        <v>5.15564</v>
      </c>
      <c r="L517" s="6" cm="1">
        <f t="array" ref="L517">_xlfn.PERCENTILE.INC(_xlfn._xlws.FILTER(tabla_base[Rendimiento_por_hectarea_ton], tabla_base[tipo_cultivo]=tabla_base[[#This Row],[tipo_cultivo]]), 0.75)</f>
        <v>5.2323700000000004</v>
      </c>
      <c r="M517" s="7" t="str">
        <f>IF(tabla_base[[#This Row],[Rendimiento_por_hectarea_ton]]&gt;tabla_base[[#This Row],[percentil_0,75]],"Sí","No")</f>
        <v>No</v>
      </c>
      <c r="N517" s="3">
        <v>0.76</v>
      </c>
      <c r="O517" t="s">
        <v>19</v>
      </c>
    </row>
    <row r="518" spans="1:15" x14ac:dyDescent="0.35">
      <c r="A518" t="s">
        <v>552</v>
      </c>
      <c r="B518" t="s">
        <v>16</v>
      </c>
      <c r="C518" t="s">
        <v>30</v>
      </c>
      <c r="D518" t="s">
        <v>547</v>
      </c>
      <c r="E518" s="3">
        <v>32.49</v>
      </c>
      <c r="F518" s="3">
        <v>5.97</v>
      </c>
      <c r="G518" s="3">
        <v>28.42</v>
      </c>
      <c r="H518" s="4">
        <v>270.75</v>
      </c>
      <c r="I518" s="3">
        <v>88.59</v>
      </c>
      <c r="J518" t="s">
        <v>25</v>
      </c>
      <c r="K518" s="4">
        <v>3.6327199999999999</v>
      </c>
      <c r="L518" s="6" cm="1">
        <f t="array" ref="L518">_xlfn.PERCENTILE.INC(_xlfn._xlws.FILTER(tabla_base[Rendimiento_por_hectarea_ton], tabla_base[tipo_cultivo]=tabla_base[[#This Row],[tipo_cultivo]]), 0.75)</f>
        <v>5.2323700000000004</v>
      </c>
      <c r="M518" s="7" t="str">
        <f>IF(tabla_base[[#This Row],[Rendimiento_por_hectarea_ton]]&gt;tabla_base[[#This Row],[percentil_0,75]],"Sí","No")</f>
        <v>No</v>
      </c>
      <c r="N518" s="3">
        <v>0.79</v>
      </c>
      <c r="O518" t="s">
        <v>20</v>
      </c>
    </row>
    <row r="519" spans="1:15" x14ac:dyDescent="0.35">
      <c r="A519" t="s">
        <v>553</v>
      </c>
      <c r="B519" t="s">
        <v>22</v>
      </c>
      <c r="C519" t="s">
        <v>30</v>
      </c>
      <c r="D519" t="s">
        <v>547</v>
      </c>
      <c r="E519" s="3">
        <v>38.28</v>
      </c>
      <c r="F519" s="3">
        <v>6.08</v>
      </c>
      <c r="G519" s="3">
        <v>26.76</v>
      </c>
      <c r="H519" s="4">
        <v>192.61</v>
      </c>
      <c r="I519" s="3">
        <v>61.89</v>
      </c>
      <c r="J519" t="s">
        <v>37</v>
      </c>
      <c r="K519" s="4">
        <v>2.5076100000000001</v>
      </c>
      <c r="L519" s="6" cm="1">
        <f t="array" ref="L519">_xlfn.PERCENTILE.INC(_xlfn._xlws.FILTER(tabla_base[Rendimiento_por_hectarea_ton], tabla_base[tipo_cultivo]=tabla_base[[#This Row],[tipo_cultivo]]), 0.75)</f>
        <v>5.2323700000000004</v>
      </c>
      <c r="M519" s="7" t="str">
        <f>IF(tabla_base[[#This Row],[Rendimiento_por_hectarea_ton]]&gt;tabla_base[[#This Row],[percentil_0,75]],"Sí","No")</f>
        <v>No</v>
      </c>
      <c r="N519" s="3">
        <v>0.72</v>
      </c>
      <c r="O519" t="s">
        <v>19</v>
      </c>
    </row>
    <row r="520" spans="1:15" x14ac:dyDescent="0.35">
      <c r="A520" t="s">
        <v>554</v>
      </c>
      <c r="B520" t="s">
        <v>16</v>
      </c>
      <c r="C520" t="s">
        <v>23</v>
      </c>
      <c r="D520" t="s">
        <v>24</v>
      </c>
      <c r="E520" s="3">
        <v>38.96</v>
      </c>
      <c r="F520" s="3">
        <v>6.85</v>
      </c>
      <c r="G520" s="3">
        <v>15.13</v>
      </c>
      <c r="H520" s="4">
        <v>144.12</v>
      </c>
      <c r="I520" s="3">
        <v>56.66</v>
      </c>
      <c r="J520" t="s">
        <v>28</v>
      </c>
      <c r="K520" s="4">
        <v>6.2422399999999998</v>
      </c>
      <c r="L520" s="6" cm="1">
        <f t="array" ref="L520">_xlfn.PERCENTILE.INC(_xlfn._xlws.FILTER(tabla_base[Rendimiento_por_hectarea_ton], tabla_base[tipo_cultivo]=tabla_base[[#This Row],[tipo_cultivo]]), 0.75)</f>
        <v>5.3984449999999997</v>
      </c>
      <c r="M520" s="7" t="str">
        <f>IF(tabla_base[[#This Row],[Rendimiento_por_hectarea_ton]]&gt;tabla_base[[#This Row],[percentil_0,75]],"Sí","No")</f>
        <v>Sí</v>
      </c>
      <c r="N520" s="3">
        <v>0.83</v>
      </c>
      <c r="O520" t="s">
        <v>26</v>
      </c>
    </row>
    <row r="521" spans="1:15" x14ac:dyDescent="0.35">
      <c r="A521" t="s">
        <v>555</v>
      </c>
      <c r="B521" t="s">
        <v>22</v>
      </c>
      <c r="C521" t="s">
        <v>40</v>
      </c>
      <c r="D521" t="s">
        <v>24</v>
      </c>
      <c r="E521" s="3">
        <v>27.68</v>
      </c>
      <c r="F521" s="3">
        <v>6.76</v>
      </c>
      <c r="G521" s="3">
        <v>18.36</v>
      </c>
      <c r="H521" s="4">
        <v>238.55</v>
      </c>
      <c r="I521" s="3">
        <v>62.92</v>
      </c>
      <c r="J521" t="s">
        <v>19</v>
      </c>
      <c r="K521" s="4">
        <v>6.02658</v>
      </c>
      <c r="L521" s="6" cm="1">
        <f t="array" ref="L521">_xlfn.PERCENTILE.INC(_xlfn._xlws.FILTER(tabla_base[Rendimiento_por_hectarea_ton], tabla_base[tipo_cultivo]=tabla_base[[#This Row],[tipo_cultivo]]), 0.75)</f>
        <v>5.3984449999999997</v>
      </c>
      <c r="M521" s="7" t="str">
        <f>IF(tabla_base[[#This Row],[Rendimiento_por_hectarea_ton]]&gt;tabla_base[[#This Row],[percentil_0,75]],"Sí","No")</f>
        <v>Sí</v>
      </c>
      <c r="N521" s="3">
        <v>0.79</v>
      </c>
      <c r="O521" t="s">
        <v>20</v>
      </c>
    </row>
    <row r="522" spans="1:15" x14ac:dyDescent="0.35">
      <c r="A522" t="s">
        <v>556</v>
      </c>
      <c r="B522" t="s">
        <v>22</v>
      </c>
      <c r="C522" t="s">
        <v>30</v>
      </c>
      <c r="D522" t="s">
        <v>547</v>
      </c>
      <c r="E522" s="3">
        <v>16.73</v>
      </c>
      <c r="F522" s="3">
        <v>6.62</v>
      </c>
      <c r="G522" s="3">
        <v>27.89</v>
      </c>
      <c r="H522" s="4">
        <v>180.14</v>
      </c>
      <c r="I522" s="3">
        <v>74.47</v>
      </c>
      <c r="J522" t="s">
        <v>19</v>
      </c>
      <c r="K522" s="4">
        <v>6.2769300000000001</v>
      </c>
      <c r="L522" s="6" cm="1">
        <f t="array" ref="L522">_xlfn.PERCENTILE.INC(_xlfn._xlws.FILTER(tabla_base[Rendimiento_por_hectarea_ton], tabla_base[tipo_cultivo]=tabla_base[[#This Row],[tipo_cultivo]]), 0.75)</f>
        <v>5.2323700000000004</v>
      </c>
      <c r="M522" s="7" t="str">
        <f>IF(tabla_base[[#This Row],[Rendimiento_por_hectarea_ton]]&gt;tabla_base[[#This Row],[percentil_0,75]],"Sí","No")</f>
        <v>Sí</v>
      </c>
      <c r="N522" s="3">
        <v>0.72</v>
      </c>
      <c r="O522" t="s">
        <v>20</v>
      </c>
    </row>
    <row r="523" spans="1:15" x14ac:dyDescent="0.35">
      <c r="A523" t="s">
        <v>557</v>
      </c>
      <c r="B523" t="s">
        <v>16</v>
      </c>
      <c r="C523" t="s">
        <v>23</v>
      </c>
      <c r="D523" t="s">
        <v>31</v>
      </c>
      <c r="E523" s="3">
        <v>23.76</v>
      </c>
      <c r="F523" s="3">
        <v>5.86</v>
      </c>
      <c r="G523" s="3">
        <v>23.61</v>
      </c>
      <c r="H523" s="4">
        <v>195.63</v>
      </c>
      <c r="I523" s="3">
        <v>62.95</v>
      </c>
      <c r="J523" t="s">
        <v>25</v>
      </c>
      <c r="K523" s="4">
        <v>5.5980299999999996</v>
      </c>
      <c r="L523" s="6" cm="1">
        <f t="array" ref="L523">_xlfn.PERCENTILE.INC(_xlfn._xlws.FILTER(tabla_base[Rendimiento_por_hectarea_ton], tabla_base[tipo_cultivo]=tabla_base[[#This Row],[tipo_cultivo]]), 0.75)</f>
        <v>5.1742550000000005</v>
      </c>
      <c r="M523" s="7" t="str">
        <f>IF(tabla_base[[#This Row],[Rendimiento_por_hectarea_ton]]&gt;tabla_base[[#This Row],[percentil_0,75]],"Sí","No")</f>
        <v>Sí</v>
      </c>
      <c r="N523" s="3">
        <v>0.63</v>
      </c>
      <c r="O523" t="s">
        <v>19</v>
      </c>
    </row>
    <row r="524" spans="1:15" x14ac:dyDescent="0.35">
      <c r="A524" t="s">
        <v>558</v>
      </c>
      <c r="B524" t="s">
        <v>544</v>
      </c>
      <c r="C524" t="s">
        <v>17</v>
      </c>
      <c r="D524" t="s">
        <v>33</v>
      </c>
      <c r="E524" s="3">
        <v>23.52</v>
      </c>
      <c r="F524" s="3">
        <v>6.48</v>
      </c>
      <c r="G524" s="3">
        <v>21.42</v>
      </c>
      <c r="H524" s="4">
        <v>90.95</v>
      </c>
      <c r="I524" s="3">
        <v>52.12</v>
      </c>
      <c r="J524" t="s">
        <v>37</v>
      </c>
      <c r="K524" s="4">
        <v>6.1538000000000004</v>
      </c>
      <c r="L524" s="6" cm="1">
        <f t="array" ref="L524">_xlfn.PERCENTILE.INC(_xlfn._xlws.FILTER(tabla_base[Rendimiento_por_hectarea_ton], tabla_base[tipo_cultivo]=tabla_base[[#This Row],[tipo_cultivo]]), 0.75)</f>
        <v>5.1635450000000001</v>
      </c>
      <c r="M524" s="7" t="str">
        <f>IF(tabla_base[[#This Row],[Rendimiento_por_hectarea_ton]]&gt;tabla_base[[#This Row],[percentil_0,75]],"Sí","No")</f>
        <v>Sí</v>
      </c>
      <c r="N524" s="3">
        <v>0.83</v>
      </c>
      <c r="O524" t="s">
        <v>26</v>
      </c>
    </row>
    <row r="525" spans="1:15" x14ac:dyDescent="0.35">
      <c r="A525" t="s">
        <v>559</v>
      </c>
      <c r="B525" t="s">
        <v>16</v>
      </c>
      <c r="C525" t="s">
        <v>23</v>
      </c>
      <c r="D525" t="s">
        <v>31</v>
      </c>
      <c r="E525" s="3">
        <v>24.59</v>
      </c>
      <c r="F525" s="3">
        <v>6.27</v>
      </c>
      <c r="G525" s="3">
        <v>34.94</v>
      </c>
      <c r="H525" s="4">
        <v>119.09</v>
      </c>
      <c r="I525" s="3">
        <v>85.01</v>
      </c>
      <c r="J525" t="s">
        <v>25</v>
      </c>
      <c r="K525" s="4">
        <v>3.5937999999999999</v>
      </c>
      <c r="L525" s="6" cm="1">
        <f t="array" ref="L525">_xlfn.PERCENTILE.INC(_xlfn._xlws.FILTER(tabla_base[Rendimiento_por_hectarea_ton], tabla_base[tipo_cultivo]=tabla_base[[#This Row],[tipo_cultivo]]), 0.75)</f>
        <v>5.1742550000000005</v>
      </c>
      <c r="M525" s="7" t="str">
        <f>IF(tabla_base[[#This Row],[Rendimiento_por_hectarea_ton]]&gt;tabla_base[[#This Row],[percentil_0,75]],"Sí","No")</f>
        <v>No</v>
      </c>
      <c r="N525" s="3">
        <v>0.57999999999999996</v>
      </c>
      <c r="O525" t="s">
        <v>20</v>
      </c>
    </row>
    <row r="526" spans="1:15" x14ac:dyDescent="0.35">
      <c r="A526" t="s">
        <v>560</v>
      </c>
      <c r="B526" t="s">
        <v>22</v>
      </c>
      <c r="C526" t="s">
        <v>30</v>
      </c>
      <c r="D526" t="s">
        <v>31</v>
      </c>
      <c r="E526" s="3">
        <v>17.11</v>
      </c>
      <c r="F526" s="3">
        <v>7.21</v>
      </c>
      <c r="G526" s="3">
        <v>17.89</v>
      </c>
      <c r="H526" s="4">
        <v>255.51</v>
      </c>
      <c r="I526" s="3">
        <v>67.63</v>
      </c>
      <c r="J526" t="s">
        <v>37</v>
      </c>
      <c r="K526" s="4">
        <v>4.6645799999999999</v>
      </c>
      <c r="L526" s="6" cm="1">
        <f t="array" ref="L526">_xlfn.PERCENTILE.INC(_xlfn._xlws.FILTER(tabla_base[Rendimiento_por_hectarea_ton], tabla_base[tipo_cultivo]=tabla_base[[#This Row],[tipo_cultivo]]), 0.75)</f>
        <v>5.1742550000000005</v>
      </c>
      <c r="M526" s="7" t="str">
        <f>IF(tabla_base[[#This Row],[Rendimiento_por_hectarea_ton]]&gt;tabla_base[[#This Row],[percentil_0,75]],"Sí","No")</f>
        <v>No</v>
      </c>
      <c r="N526" s="3">
        <v>0.78</v>
      </c>
      <c r="O526" t="s">
        <v>20</v>
      </c>
    </row>
    <row r="527" spans="1:15" x14ac:dyDescent="0.35">
      <c r="A527" t="s">
        <v>561</v>
      </c>
      <c r="B527" t="s">
        <v>22</v>
      </c>
      <c r="C527" t="s">
        <v>30</v>
      </c>
      <c r="D527" t="s">
        <v>547</v>
      </c>
      <c r="E527" s="3">
        <v>36.1</v>
      </c>
      <c r="F527" s="3">
        <v>6.63</v>
      </c>
      <c r="G527" s="3">
        <v>32.270000000000003</v>
      </c>
      <c r="H527" s="4">
        <v>152.09</v>
      </c>
      <c r="I527" s="3">
        <v>51.82</v>
      </c>
      <c r="J527" t="s">
        <v>19</v>
      </c>
      <c r="K527" s="4">
        <v>3.7404000000000002</v>
      </c>
      <c r="L527" s="6" cm="1">
        <f t="array" ref="L527">_xlfn.PERCENTILE.INC(_xlfn._xlws.FILTER(tabla_base[Rendimiento_por_hectarea_ton], tabla_base[tipo_cultivo]=tabla_base[[#This Row],[tipo_cultivo]]), 0.75)</f>
        <v>5.2323700000000004</v>
      </c>
      <c r="M527" s="7" t="str">
        <f>IF(tabla_base[[#This Row],[Rendimiento_por_hectarea_ton]]&gt;tabla_base[[#This Row],[percentil_0,75]],"Sí","No")</f>
        <v>No</v>
      </c>
      <c r="N527" s="3">
        <v>0.88</v>
      </c>
      <c r="O527" t="s">
        <v>19</v>
      </c>
    </row>
    <row r="528" spans="1:15" x14ac:dyDescent="0.35">
      <c r="A528" t="s">
        <v>562</v>
      </c>
      <c r="B528" t="s">
        <v>544</v>
      </c>
      <c r="C528" t="s">
        <v>30</v>
      </c>
      <c r="D528" t="s">
        <v>547</v>
      </c>
      <c r="E528" s="3">
        <v>33.03</v>
      </c>
      <c r="F528" s="3">
        <v>7.49</v>
      </c>
      <c r="G528" s="3">
        <v>32.89</v>
      </c>
      <c r="H528" s="4">
        <v>258.17</v>
      </c>
      <c r="I528" s="3">
        <v>68.37</v>
      </c>
      <c r="J528" t="s">
        <v>25</v>
      </c>
      <c r="K528" s="4">
        <v>4.3163600000000004</v>
      </c>
      <c r="L528" s="6" cm="1">
        <f t="array" ref="L528">_xlfn.PERCENTILE.INC(_xlfn._xlws.FILTER(tabla_base[Rendimiento_por_hectarea_ton], tabla_base[tipo_cultivo]=tabla_base[[#This Row],[tipo_cultivo]]), 0.75)</f>
        <v>5.2323700000000004</v>
      </c>
      <c r="M528" s="7" t="str">
        <f>IF(tabla_base[[#This Row],[Rendimiento_por_hectarea_ton]]&gt;tabla_base[[#This Row],[percentil_0,75]],"Sí","No")</f>
        <v>No</v>
      </c>
      <c r="N528" s="3">
        <v>0.7</v>
      </c>
      <c r="O528" t="s">
        <v>26</v>
      </c>
    </row>
    <row r="529" spans="1:15" x14ac:dyDescent="0.35">
      <c r="A529" t="s">
        <v>563</v>
      </c>
      <c r="B529" t="s">
        <v>22</v>
      </c>
      <c r="C529" t="s">
        <v>17</v>
      </c>
      <c r="D529" t="s">
        <v>31</v>
      </c>
      <c r="E529" s="3">
        <v>16.09</v>
      </c>
      <c r="F529" s="3">
        <v>7.02</v>
      </c>
      <c r="G529" s="3">
        <v>32.97</v>
      </c>
      <c r="H529" s="4">
        <v>252.37</v>
      </c>
      <c r="I529" s="3">
        <v>67.540000000000006</v>
      </c>
      <c r="J529" t="s">
        <v>28</v>
      </c>
      <c r="K529" s="4">
        <v>3.57762</v>
      </c>
      <c r="L529" s="6" cm="1">
        <f t="array" ref="L529">_xlfn.PERCENTILE.INC(_xlfn._xlws.FILTER(tabla_base[Rendimiento_por_hectarea_ton], tabla_base[tipo_cultivo]=tabla_base[[#This Row],[tipo_cultivo]]), 0.75)</f>
        <v>5.1742550000000005</v>
      </c>
      <c r="M529" s="7" t="str">
        <f>IF(tabla_base[[#This Row],[Rendimiento_por_hectarea_ton]]&gt;tabla_base[[#This Row],[percentil_0,75]],"Sí","No")</f>
        <v>No</v>
      </c>
      <c r="N529" s="3">
        <v>0.83</v>
      </c>
      <c r="O529" t="s">
        <v>19</v>
      </c>
    </row>
    <row r="530" spans="1:15" x14ac:dyDescent="0.35">
      <c r="A530" t="s">
        <v>564</v>
      </c>
      <c r="B530" t="s">
        <v>22</v>
      </c>
      <c r="C530" t="s">
        <v>17</v>
      </c>
      <c r="D530" t="s">
        <v>547</v>
      </c>
      <c r="E530" s="3">
        <v>29.16</v>
      </c>
      <c r="F530" s="3">
        <v>5.75</v>
      </c>
      <c r="G530" s="3">
        <v>23.67</v>
      </c>
      <c r="H530" s="4">
        <v>236.7</v>
      </c>
      <c r="I530" s="3">
        <v>87.29</v>
      </c>
      <c r="J530" t="s">
        <v>28</v>
      </c>
      <c r="K530" s="4">
        <v>4.1243299999999996</v>
      </c>
      <c r="L530" s="6" cm="1">
        <f t="array" ref="L530">_xlfn.PERCENTILE.INC(_xlfn._xlws.FILTER(tabla_base[Rendimiento_por_hectarea_ton], tabla_base[tipo_cultivo]=tabla_base[[#This Row],[tipo_cultivo]]), 0.75)</f>
        <v>5.2323700000000004</v>
      </c>
      <c r="M530" s="7" t="str">
        <f>IF(tabla_base[[#This Row],[Rendimiento_por_hectarea_ton]]&gt;tabla_base[[#This Row],[percentil_0,75]],"Sí","No")</f>
        <v>No</v>
      </c>
      <c r="N530" s="3">
        <v>0.69</v>
      </c>
      <c r="O530" t="s">
        <v>19</v>
      </c>
    </row>
    <row r="531" spans="1:15" x14ac:dyDescent="0.35">
      <c r="A531" t="s">
        <v>565</v>
      </c>
      <c r="B531" t="s">
        <v>22</v>
      </c>
      <c r="C531" t="s">
        <v>17</v>
      </c>
      <c r="D531" t="s">
        <v>33</v>
      </c>
      <c r="E531" s="3">
        <v>31.56</v>
      </c>
      <c r="F531" s="3">
        <v>6.2</v>
      </c>
      <c r="G531" s="3">
        <v>26.21</v>
      </c>
      <c r="H531" s="4">
        <v>153.78</v>
      </c>
      <c r="I531" s="3">
        <v>87.9</v>
      </c>
      <c r="J531" t="s">
        <v>19</v>
      </c>
      <c r="K531" s="4">
        <v>3.3366600000000002</v>
      </c>
      <c r="L531" s="6" cm="1">
        <f t="array" ref="L531">_xlfn.PERCENTILE.INC(_xlfn._xlws.FILTER(tabla_base[Rendimiento_por_hectarea_ton], tabla_base[tipo_cultivo]=tabla_base[[#This Row],[tipo_cultivo]]), 0.75)</f>
        <v>5.1635450000000001</v>
      </c>
      <c r="M531" s="7" t="str">
        <f>IF(tabla_base[[#This Row],[Rendimiento_por_hectarea_ton]]&gt;tabla_base[[#This Row],[percentil_0,75]],"Sí","No")</f>
        <v>No</v>
      </c>
      <c r="N531" s="3">
        <v>0.77</v>
      </c>
      <c r="O531" t="s">
        <v>26</v>
      </c>
    </row>
    <row r="532" spans="1:15" x14ac:dyDescent="0.35">
      <c r="A532" t="s">
        <v>566</v>
      </c>
      <c r="B532" t="s">
        <v>16</v>
      </c>
      <c r="C532" t="s">
        <v>23</v>
      </c>
      <c r="D532" t="s">
        <v>35</v>
      </c>
      <c r="E532" s="3">
        <v>25.81</v>
      </c>
      <c r="F532" s="3">
        <v>5.93</v>
      </c>
      <c r="G532" s="3">
        <v>16.22</v>
      </c>
      <c r="H532" s="4">
        <v>267.48</v>
      </c>
      <c r="I532" s="3">
        <v>79.28</v>
      </c>
      <c r="J532" t="s">
        <v>28</v>
      </c>
      <c r="K532" s="4">
        <v>4.1064100000000003</v>
      </c>
      <c r="L532" s="6" cm="1">
        <f t="array" ref="L532">_xlfn.PERCENTILE.INC(_xlfn._xlws.FILTER(tabla_base[Rendimiento_por_hectarea_ton], tabla_base[tipo_cultivo]=tabla_base[[#This Row],[tipo_cultivo]]), 0.75)</f>
        <v>5.1318025</v>
      </c>
      <c r="M532" s="7" t="str">
        <f>IF(tabla_base[[#This Row],[Rendimiento_por_hectarea_ton]]&gt;tabla_base[[#This Row],[percentil_0,75]],"Sí","No")</f>
        <v>No</v>
      </c>
      <c r="N532" s="3">
        <v>0.61</v>
      </c>
      <c r="O532" t="s">
        <v>20</v>
      </c>
    </row>
    <row r="533" spans="1:15" x14ac:dyDescent="0.35">
      <c r="A533" t="s">
        <v>567</v>
      </c>
      <c r="B533" t="s">
        <v>22</v>
      </c>
      <c r="C533" t="s">
        <v>40</v>
      </c>
      <c r="D533" t="s">
        <v>547</v>
      </c>
      <c r="E533" s="3">
        <v>26.79</v>
      </c>
      <c r="F533" s="3">
        <v>5.8</v>
      </c>
      <c r="G533" s="3">
        <v>34.04</v>
      </c>
      <c r="H533" s="4">
        <v>151.31</v>
      </c>
      <c r="I533" s="3">
        <v>72.58</v>
      </c>
      <c r="J533" t="s">
        <v>25</v>
      </c>
      <c r="K533" s="4">
        <v>3.5791400000000002</v>
      </c>
      <c r="L533" s="6" cm="1">
        <f t="array" ref="L533">_xlfn.PERCENTILE.INC(_xlfn._xlws.FILTER(tabla_base[Rendimiento_por_hectarea_ton], tabla_base[tipo_cultivo]=tabla_base[[#This Row],[tipo_cultivo]]), 0.75)</f>
        <v>5.2323700000000004</v>
      </c>
      <c r="M533" s="7" t="str">
        <f>IF(tabla_base[[#This Row],[Rendimiento_por_hectarea_ton]]&gt;tabla_base[[#This Row],[percentil_0,75]],"Sí","No")</f>
        <v>No</v>
      </c>
      <c r="N533" s="3">
        <v>0.62</v>
      </c>
      <c r="O533" t="s">
        <v>20</v>
      </c>
    </row>
    <row r="534" spans="1:15" x14ac:dyDescent="0.35">
      <c r="A534" t="s">
        <v>568</v>
      </c>
      <c r="B534" t="s">
        <v>544</v>
      </c>
      <c r="C534" t="s">
        <v>23</v>
      </c>
      <c r="D534" t="s">
        <v>18</v>
      </c>
      <c r="E534" s="3">
        <v>36.19</v>
      </c>
      <c r="F534" s="3">
        <v>5.75</v>
      </c>
      <c r="G534" s="3">
        <v>32.380000000000003</v>
      </c>
      <c r="H534" s="4">
        <v>222.43</v>
      </c>
      <c r="I534" s="3">
        <v>67.44</v>
      </c>
      <c r="J534" t="s">
        <v>37</v>
      </c>
      <c r="K534" s="4">
        <v>2.6964199999999998</v>
      </c>
      <c r="L534" s="6" cm="1">
        <f t="array" ref="L534">_xlfn.PERCENTILE.INC(_xlfn._xlws.FILTER(tabla_base[Rendimiento_por_hectarea_ton], tabla_base[tipo_cultivo]=tabla_base[[#This Row],[tipo_cultivo]]), 0.75)</f>
        <v>5.2079399999999998</v>
      </c>
      <c r="M534" s="7" t="str">
        <f>IF(tabla_base[[#This Row],[Rendimiento_por_hectarea_ton]]&gt;tabla_base[[#This Row],[percentil_0,75]],"Sí","No")</f>
        <v>No</v>
      </c>
      <c r="N534" s="3">
        <v>0.57999999999999996</v>
      </c>
      <c r="O534" t="s">
        <v>26</v>
      </c>
    </row>
    <row r="535" spans="1:15" x14ac:dyDescent="0.35">
      <c r="A535" t="s">
        <v>569</v>
      </c>
      <c r="B535" t="s">
        <v>544</v>
      </c>
      <c r="C535" t="s">
        <v>17</v>
      </c>
      <c r="D535" t="s">
        <v>547</v>
      </c>
      <c r="E535" s="3">
        <v>38.520000000000003</v>
      </c>
      <c r="F535" s="3">
        <v>6.79</v>
      </c>
      <c r="G535" s="3">
        <v>18.760000000000002</v>
      </c>
      <c r="H535" s="4">
        <v>176.07</v>
      </c>
      <c r="I535" s="3">
        <v>59.22</v>
      </c>
      <c r="J535" t="s">
        <v>37</v>
      </c>
      <c r="K535" s="4">
        <v>4.7778700000000001</v>
      </c>
      <c r="L535" s="6" cm="1">
        <f t="array" ref="L535">_xlfn.PERCENTILE.INC(_xlfn._xlws.FILTER(tabla_base[Rendimiento_por_hectarea_ton], tabla_base[tipo_cultivo]=tabla_base[[#This Row],[tipo_cultivo]]), 0.75)</f>
        <v>5.2323700000000004</v>
      </c>
      <c r="M535" s="7" t="str">
        <f>IF(tabla_base[[#This Row],[Rendimiento_por_hectarea_ton]]&gt;tabla_base[[#This Row],[percentil_0,75]],"Sí","No")</f>
        <v>No</v>
      </c>
      <c r="N535" s="3">
        <v>0.62</v>
      </c>
      <c r="O535" t="s">
        <v>26</v>
      </c>
    </row>
    <row r="536" spans="1:15" x14ac:dyDescent="0.35">
      <c r="A536" t="s">
        <v>570</v>
      </c>
      <c r="B536" t="s">
        <v>16</v>
      </c>
      <c r="C536" t="s">
        <v>30</v>
      </c>
      <c r="D536" t="s">
        <v>31</v>
      </c>
      <c r="E536" s="3">
        <v>25.83</v>
      </c>
      <c r="F536" s="3">
        <v>6.25</v>
      </c>
      <c r="G536" s="3">
        <v>22.57</v>
      </c>
      <c r="H536" s="4">
        <v>84.69</v>
      </c>
      <c r="I536" s="3">
        <v>72.59</v>
      </c>
      <c r="J536" t="s">
        <v>37</v>
      </c>
      <c r="K536" s="4">
        <v>3.3127300000000002</v>
      </c>
      <c r="L536" s="6" cm="1">
        <f t="array" ref="L536">_xlfn.PERCENTILE.INC(_xlfn._xlws.FILTER(tabla_base[Rendimiento_por_hectarea_ton], tabla_base[tipo_cultivo]=tabla_base[[#This Row],[tipo_cultivo]]), 0.75)</f>
        <v>5.1742550000000005</v>
      </c>
      <c r="M536" s="7" t="str">
        <f>IF(tabla_base[[#This Row],[Rendimiento_por_hectarea_ton]]&gt;tabla_base[[#This Row],[percentil_0,75]],"Sí","No")</f>
        <v>No</v>
      </c>
      <c r="N536" s="3">
        <v>0.53</v>
      </c>
      <c r="O536" t="s">
        <v>19</v>
      </c>
    </row>
    <row r="537" spans="1:15" x14ac:dyDescent="0.35">
      <c r="A537" t="s">
        <v>571</v>
      </c>
      <c r="B537" t="s">
        <v>22</v>
      </c>
      <c r="C537" t="s">
        <v>40</v>
      </c>
      <c r="D537" t="s">
        <v>18</v>
      </c>
      <c r="E537" s="3">
        <v>22.77</v>
      </c>
      <c r="F537" s="3">
        <v>7.48</v>
      </c>
      <c r="G537" s="3">
        <v>16.8</v>
      </c>
      <c r="H537" s="4">
        <v>229.39</v>
      </c>
      <c r="I537" s="3">
        <v>56.77</v>
      </c>
      <c r="J537" t="s">
        <v>37</v>
      </c>
      <c r="K537" s="4">
        <v>2.9192900000000002</v>
      </c>
      <c r="L537" s="6" cm="1">
        <f t="array" ref="L537">_xlfn.PERCENTILE.INC(_xlfn._xlws.FILTER(tabla_base[Rendimiento_por_hectarea_ton], tabla_base[tipo_cultivo]=tabla_base[[#This Row],[tipo_cultivo]]), 0.75)</f>
        <v>5.2079399999999998</v>
      </c>
      <c r="M537" s="7" t="str">
        <f>IF(tabla_base[[#This Row],[Rendimiento_por_hectarea_ton]]&gt;tabla_base[[#This Row],[percentil_0,75]],"Sí","No")</f>
        <v>No</v>
      </c>
      <c r="N537" s="3">
        <v>0.83</v>
      </c>
      <c r="O537" t="s">
        <v>20</v>
      </c>
    </row>
    <row r="538" spans="1:15" x14ac:dyDescent="0.35">
      <c r="A538" t="s">
        <v>572</v>
      </c>
      <c r="B538" t="s">
        <v>22</v>
      </c>
      <c r="C538" t="s">
        <v>30</v>
      </c>
      <c r="D538" t="s">
        <v>547</v>
      </c>
      <c r="E538" s="3">
        <v>37.75</v>
      </c>
      <c r="F538" s="3">
        <v>5.77</v>
      </c>
      <c r="G538" s="3">
        <v>18.89</v>
      </c>
      <c r="H538" s="4">
        <v>205.54</v>
      </c>
      <c r="I538" s="3">
        <v>83.58</v>
      </c>
      <c r="J538" t="s">
        <v>25</v>
      </c>
      <c r="K538" s="4">
        <v>2.7548300000000001</v>
      </c>
      <c r="L538" s="6" cm="1">
        <f t="array" ref="L538">_xlfn.PERCENTILE.INC(_xlfn._xlws.FILTER(tabla_base[Rendimiento_por_hectarea_ton], tabla_base[tipo_cultivo]=tabla_base[[#This Row],[tipo_cultivo]]), 0.75)</f>
        <v>5.2323700000000004</v>
      </c>
      <c r="M538" s="7" t="str">
        <f>IF(tabla_base[[#This Row],[Rendimiento_por_hectarea_ton]]&gt;tabla_base[[#This Row],[percentil_0,75]],"Sí","No")</f>
        <v>No</v>
      </c>
      <c r="N538" s="3">
        <v>0.61</v>
      </c>
      <c r="O538" t="s">
        <v>20</v>
      </c>
    </row>
    <row r="539" spans="1:15" x14ac:dyDescent="0.35">
      <c r="A539" t="s">
        <v>573</v>
      </c>
      <c r="B539" t="s">
        <v>22</v>
      </c>
      <c r="C539" t="s">
        <v>17</v>
      </c>
      <c r="D539" t="s">
        <v>33</v>
      </c>
      <c r="E539" s="3">
        <v>32.29</v>
      </c>
      <c r="F539" s="3">
        <v>7.02</v>
      </c>
      <c r="G539" s="3">
        <v>26.11</v>
      </c>
      <c r="H539" s="4">
        <v>205.87</v>
      </c>
      <c r="I539" s="3">
        <v>50.16</v>
      </c>
      <c r="J539" t="s">
        <v>25</v>
      </c>
      <c r="K539" s="4">
        <v>3.87805</v>
      </c>
      <c r="L539" s="6" cm="1">
        <f t="array" ref="L539">_xlfn.PERCENTILE.INC(_xlfn._xlws.FILTER(tabla_base[Rendimiento_por_hectarea_ton], tabla_base[tipo_cultivo]=tabla_base[[#This Row],[tipo_cultivo]]), 0.75)</f>
        <v>5.1635450000000001</v>
      </c>
      <c r="M539" s="7" t="str">
        <f>IF(tabla_base[[#This Row],[Rendimiento_por_hectarea_ton]]&gt;tabla_base[[#This Row],[percentil_0,75]],"Sí","No")</f>
        <v>No</v>
      </c>
      <c r="N539" s="3">
        <v>0.53</v>
      </c>
      <c r="O539" t="s">
        <v>26</v>
      </c>
    </row>
    <row r="540" spans="1:15" x14ac:dyDescent="0.35">
      <c r="A540" t="s">
        <v>574</v>
      </c>
      <c r="B540" t="s">
        <v>544</v>
      </c>
      <c r="C540" t="s">
        <v>17</v>
      </c>
      <c r="D540" t="s">
        <v>33</v>
      </c>
      <c r="E540" s="3">
        <v>27.75</v>
      </c>
      <c r="F540" s="3">
        <v>5.69</v>
      </c>
      <c r="G540" s="3">
        <v>15.36</v>
      </c>
      <c r="H540" s="4">
        <v>280.05</v>
      </c>
      <c r="I540" s="3">
        <v>79.819999999999993</v>
      </c>
      <c r="J540" t="s">
        <v>25</v>
      </c>
      <c r="K540" s="4">
        <v>2.9489999999999998</v>
      </c>
      <c r="L540" s="6" cm="1">
        <f t="array" ref="L540">_xlfn.PERCENTILE.INC(_xlfn._xlws.FILTER(tabla_base[Rendimiento_por_hectarea_ton], tabla_base[tipo_cultivo]=tabla_base[[#This Row],[tipo_cultivo]]), 0.75)</f>
        <v>5.1635450000000001</v>
      </c>
      <c r="M540" s="7" t="str">
        <f>IF(tabla_base[[#This Row],[Rendimiento_por_hectarea_ton]]&gt;tabla_base[[#This Row],[percentil_0,75]],"Sí","No")</f>
        <v>No</v>
      </c>
      <c r="N540" s="3">
        <v>0.52</v>
      </c>
      <c r="O540" t="s">
        <v>20</v>
      </c>
    </row>
    <row r="541" spans="1:15" x14ac:dyDescent="0.35">
      <c r="A541" t="s">
        <v>575</v>
      </c>
      <c r="B541" t="s">
        <v>22</v>
      </c>
      <c r="C541" t="s">
        <v>23</v>
      </c>
      <c r="D541" t="s">
        <v>18</v>
      </c>
      <c r="E541" s="3">
        <v>23.66</v>
      </c>
      <c r="F541" s="3">
        <v>6.11</v>
      </c>
      <c r="G541" s="3">
        <v>34.04</v>
      </c>
      <c r="H541" s="4">
        <v>263.47000000000003</v>
      </c>
      <c r="I541" s="3">
        <v>61.77</v>
      </c>
      <c r="J541" t="s">
        <v>28</v>
      </c>
      <c r="K541" s="4">
        <v>6.4770500000000002</v>
      </c>
      <c r="L541" s="6" cm="1">
        <f t="array" ref="L541">_xlfn.PERCENTILE.INC(_xlfn._xlws.FILTER(tabla_base[Rendimiento_por_hectarea_ton], tabla_base[tipo_cultivo]=tabla_base[[#This Row],[tipo_cultivo]]), 0.75)</f>
        <v>5.2079399999999998</v>
      </c>
      <c r="M541" s="7" t="str">
        <f>IF(tabla_base[[#This Row],[Rendimiento_por_hectarea_ton]]&gt;tabla_base[[#This Row],[percentil_0,75]],"Sí","No")</f>
        <v>Sí</v>
      </c>
      <c r="N541" s="3">
        <v>0.6</v>
      </c>
      <c r="O541" t="s">
        <v>26</v>
      </c>
    </row>
    <row r="542" spans="1:15" x14ac:dyDescent="0.35">
      <c r="A542" t="s">
        <v>576</v>
      </c>
      <c r="B542" t="s">
        <v>22</v>
      </c>
      <c r="C542" t="s">
        <v>23</v>
      </c>
      <c r="D542" t="s">
        <v>31</v>
      </c>
      <c r="E542" s="3">
        <v>30.51</v>
      </c>
      <c r="F542" s="3">
        <v>6.64</v>
      </c>
      <c r="G542" s="3">
        <v>33.21</v>
      </c>
      <c r="H542" s="4">
        <v>142.34</v>
      </c>
      <c r="I542" s="3">
        <v>88.05</v>
      </c>
      <c r="J542" t="s">
        <v>37</v>
      </c>
      <c r="K542" s="4">
        <v>5.2282799999999998</v>
      </c>
      <c r="L542" s="6" cm="1">
        <f t="array" ref="L542">_xlfn.PERCENTILE.INC(_xlfn._xlws.FILTER(tabla_base[Rendimiento_por_hectarea_ton], tabla_base[tipo_cultivo]=tabla_base[[#This Row],[tipo_cultivo]]), 0.75)</f>
        <v>5.1742550000000005</v>
      </c>
      <c r="M542" s="7" t="str">
        <f>IF(tabla_base[[#This Row],[Rendimiento_por_hectarea_ton]]&gt;tabla_base[[#This Row],[percentil_0,75]],"Sí","No")</f>
        <v>Sí</v>
      </c>
      <c r="N542" s="3">
        <v>0.84</v>
      </c>
      <c r="O542" t="s">
        <v>20</v>
      </c>
    </row>
    <row r="543" spans="1:15" x14ac:dyDescent="0.35">
      <c r="A543" t="s">
        <v>577</v>
      </c>
      <c r="B543" t="s">
        <v>22</v>
      </c>
      <c r="C543" t="s">
        <v>30</v>
      </c>
      <c r="D543" t="s">
        <v>547</v>
      </c>
      <c r="E543" s="3">
        <v>31.7</v>
      </c>
      <c r="F543" s="3">
        <v>6.47</v>
      </c>
      <c r="G543" s="3">
        <v>28.84</v>
      </c>
      <c r="H543" s="4">
        <v>135.01</v>
      </c>
      <c r="I543" s="3">
        <v>55.55</v>
      </c>
      <c r="J543" t="s">
        <v>19</v>
      </c>
      <c r="K543" s="4">
        <v>5.9693199999999997</v>
      </c>
      <c r="L543" s="6" cm="1">
        <f t="array" ref="L543">_xlfn.PERCENTILE.INC(_xlfn._xlws.FILTER(tabla_base[Rendimiento_por_hectarea_ton], tabla_base[tipo_cultivo]=tabla_base[[#This Row],[tipo_cultivo]]), 0.75)</f>
        <v>5.2323700000000004</v>
      </c>
      <c r="M543" s="7" t="str">
        <f>IF(tabla_base[[#This Row],[Rendimiento_por_hectarea_ton]]&gt;tabla_base[[#This Row],[percentil_0,75]],"Sí","No")</f>
        <v>Sí</v>
      </c>
      <c r="N543" s="3">
        <v>0.85</v>
      </c>
      <c r="O543" t="s">
        <v>20</v>
      </c>
    </row>
    <row r="544" spans="1:15" x14ac:dyDescent="0.35">
      <c r="A544" t="s">
        <v>578</v>
      </c>
      <c r="B544" t="s">
        <v>22</v>
      </c>
      <c r="C544" t="s">
        <v>17</v>
      </c>
      <c r="D544" t="s">
        <v>33</v>
      </c>
      <c r="E544" s="3">
        <v>38.06</v>
      </c>
      <c r="F544" s="3">
        <v>6.92</v>
      </c>
      <c r="G544" s="3">
        <v>22.03</v>
      </c>
      <c r="H544" s="4">
        <v>138.72999999999999</v>
      </c>
      <c r="I544" s="3">
        <v>62.4</v>
      </c>
      <c r="J544" t="s">
        <v>25</v>
      </c>
      <c r="K544" s="4">
        <v>3.4192200000000001</v>
      </c>
      <c r="L544" s="6" cm="1">
        <f t="array" ref="L544">_xlfn.PERCENTILE.INC(_xlfn._xlws.FILTER(tabla_base[Rendimiento_por_hectarea_ton], tabla_base[tipo_cultivo]=tabla_base[[#This Row],[tipo_cultivo]]), 0.75)</f>
        <v>5.1635450000000001</v>
      </c>
      <c r="M544" s="7" t="str">
        <f>IF(tabla_base[[#This Row],[Rendimiento_por_hectarea_ton]]&gt;tabla_base[[#This Row],[percentil_0,75]],"Sí","No")</f>
        <v>No</v>
      </c>
      <c r="N544" s="3">
        <v>0.86</v>
      </c>
      <c r="O544" t="s">
        <v>20</v>
      </c>
    </row>
    <row r="545" spans="1:15" x14ac:dyDescent="0.35">
      <c r="A545" t="s">
        <v>579</v>
      </c>
      <c r="B545" t="s">
        <v>22</v>
      </c>
      <c r="C545" t="s">
        <v>17</v>
      </c>
      <c r="D545" t="s">
        <v>18</v>
      </c>
      <c r="E545" s="3">
        <v>28.65</v>
      </c>
      <c r="F545" s="3">
        <v>6.8</v>
      </c>
      <c r="G545" s="3">
        <v>22.25</v>
      </c>
      <c r="H545" s="4">
        <v>226.95</v>
      </c>
      <c r="I545" s="3">
        <v>71.39</v>
      </c>
      <c r="J545" t="s">
        <v>25</v>
      </c>
      <c r="K545" s="4">
        <v>2.9607000000000001</v>
      </c>
      <c r="L545" s="6" cm="1">
        <f t="array" ref="L545">_xlfn.PERCENTILE.INC(_xlfn._xlws.FILTER(tabla_base[Rendimiento_por_hectarea_ton], tabla_base[tipo_cultivo]=tabla_base[[#This Row],[tipo_cultivo]]), 0.75)</f>
        <v>5.2079399999999998</v>
      </c>
      <c r="M545" s="7" t="str">
        <f>IF(tabla_base[[#This Row],[Rendimiento_por_hectarea_ton]]&gt;tabla_base[[#This Row],[percentil_0,75]],"Sí","No")</f>
        <v>No</v>
      </c>
      <c r="N545" s="3">
        <v>0.51</v>
      </c>
      <c r="O545" t="s">
        <v>20</v>
      </c>
    </row>
    <row r="546" spans="1:15" x14ac:dyDescent="0.35">
      <c r="A546" t="s">
        <v>580</v>
      </c>
      <c r="B546" t="s">
        <v>544</v>
      </c>
      <c r="C546" t="s">
        <v>17</v>
      </c>
      <c r="D546" t="s">
        <v>31</v>
      </c>
      <c r="E546" s="3">
        <v>26.62</v>
      </c>
      <c r="F546" s="3">
        <v>7.35</v>
      </c>
      <c r="G546" s="3">
        <v>30.13</v>
      </c>
      <c r="H546" s="4">
        <v>262.70999999999998</v>
      </c>
      <c r="I546" s="3">
        <v>70.58</v>
      </c>
      <c r="J546" t="s">
        <v>37</v>
      </c>
      <c r="K546" s="4">
        <v>2.7285300000000001</v>
      </c>
      <c r="L546" s="6" cm="1">
        <f t="array" ref="L546">_xlfn.PERCENTILE.INC(_xlfn._xlws.FILTER(tabla_base[Rendimiento_por_hectarea_ton], tabla_base[tipo_cultivo]=tabla_base[[#This Row],[tipo_cultivo]]), 0.75)</f>
        <v>5.1742550000000005</v>
      </c>
      <c r="M546" s="7" t="str">
        <f>IF(tabla_base[[#This Row],[Rendimiento_por_hectarea_ton]]&gt;tabla_base[[#This Row],[percentil_0,75]],"Sí","No")</f>
        <v>No</v>
      </c>
      <c r="N546" s="3">
        <v>0.82</v>
      </c>
      <c r="O546" t="s">
        <v>19</v>
      </c>
    </row>
    <row r="547" spans="1:15" x14ac:dyDescent="0.35">
      <c r="A547" t="s">
        <v>581</v>
      </c>
      <c r="B547" t="s">
        <v>22</v>
      </c>
      <c r="C547" t="s">
        <v>23</v>
      </c>
      <c r="D547" t="s">
        <v>31</v>
      </c>
      <c r="E547" s="3">
        <v>15.58</v>
      </c>
      <c r="F547" s="3">
        <v>5.84</v>
      </c>
      <c r="G547" s="3">
        <v>25.78</v>
      </c>
      <c r="H547" s="4">
        <v>197.28</v>
      </c>
      <c r="I547" s="3">
        <v>50.28</v>
      </c>
      <c r="J547" t="s">
        <v>25</v>
      </c>
      <c r="K547" s="4">
        <v>3.7494999999999998</v>
      </c>
      <c r="L547" s="6" cm="1">
        <f t="array" ref="L547">_xlfn.PERCENTILE.INC(_xlfn._xlws.FILTER(tabla_base[Rendimiento_por_hectarea_ton], tabla_base[tipo_cultivo]=tabla_base[[#This Row],[tipo_cultivo]]), 0.75)</f>
        <v>5.1742550000000005</v>
      </c>
      <c r="M547" s="7" t="str">
        <f>IF(tabla_base[[#This Row],[Rendimiento_por_hectarea_ton]]&gt;tabla_base[[#This Row],[percentil_0,75]],"Sí","No")</f>
        <v>No</v>
      </c>
      <c r="N547" s="3">
        <v>0.82</v>
      </c>
      <c r="O547" t="s">
        <v>20</v>
      </c>
    </row>
    <row r="548" spans="1:15" x14ac:dyDescent="0.35">
      <c r="A548" t="s">
        <v>582</v>
      </c>
      <c r="B548" t="s">
        <v>16</v>
      </c>
      <c r="C548" t="s">
        <v>23</v>
      </c>
      <c r="D548" t="s">
        <v>18</v>
      </c>
      <c r="E548" s="3">
        <v>15.13</v>
      </c>
      <c r="F548" s="3">
        <v>7.08</v>
      </c>
      <c r="G548" s="3">
        <v>33.229999999999997</v>
      </c>
      <c r="H548" s="4">
        <v>299.05</v>
      </c>
      <c r="I548" s="3">
        <v>65.86</v>
      </c>
      <c r="J548" t="s">
        <v>25</v>
      </c>
      <c r="K548" s="4">
        <v>5.59375</v>
      </c>
      <c r="L548" s="6" cm="1">
        <f t="array" ref="L548">_xlfn.PERCENTILE.INC(_xlfn._xlws.FILTER(tabla_base[Rendimiento_por_hectarea_ton], tabla_base[tipo_cultivo]=tabla_base[[#This Row],[tipo_cultivo]]), 0.75)</f>
        <v>5.2079399999999998</v>
      </c>
      <c r="M548" s="7" t="str">
        <f>IF(tabla_base[[#This Row],[Rendimiento_por_hectarea_ton]]&gt;tabla_base[[#This Row],[percentil_0,75]],"Sí","No")</f>
        <v>Sí</v>
      </c>
      <c r="N548" s="3">
        <v>0.89</v>
      </c>
      <c r="O548" t="s">
        <v>26</v>
      </c>
    </row>
    <row r="549" spans="1:15" x14ac:dyDescent="0.35">
      <c r="A549" t="s">
        <v>583</v>
      </c>
      <c r="B549" t="s">
        <v>22</v>
      </c>
      <c r="C549" t="s">
        <v>17</v>
      </c>
      <c r="D549" t="s">
        <v>33</v>
      </c>
      <c r="E549" s="3">
        <v>33.979999999999997</v>
      </c>
      <c r="F549" s="3">
        <v>7.03</v>
      </c>
      <c r="G549" s="3">
        <v>16.399999999999999</v>
      </c>
      <c r="H549" s="4">
        <v>135.41999999999999</v>
      </c>
      <c r="I549" s="3">
        <v>78.58</v>
      </c>
      <c r="J549" t="s">
        <v>28</v>
      </c>
      <c r="K549" s="4">
        <v>4.2167300000000001</v>
      </c>
      <c r="L549" s="6" cm="1">
        <f t="array" ref="L549">_xlfn.PERCENTILE.INC(_xlfn._xlws.FILTER(tabla_base[Rendimiento_por_hectarea_ton], tabla_base[tipo_cultivo]=tabla_base[[#This Row],[tipo_cultivo]]), 0.75)</f>
        <v>5.1635450000000001</v>
      </c>
      <c r="M549" s="7" t="str">
        <f>IF(tabla_base[[#This Row],[Rendimiento_por_hectarea_ton]]&gt;tabla_base[[#This Row],[percentil_0,75]],"Sí","No")</f>
        <v>No</v>
      </c>
      <c r="N549" s="3">
        <v>0.51</v>
      </c>
      <c r="O549" t="s">
        <v>26</v>
      </c>
    </row>
    <row r="550" spans="1:15" x14ac:dyDescent="0.35">
      <c r="A550" t="s">
        <v>584</v>
      </c>
      <c r="B550" t="s">
        <v>22</v>
      </c>
      <c r="C550" t="s">
        <v>30</v>
      </c>
      <c r="D550" t="s">
        <v>35</v>
      </c>
      <c r="E550" s="3">
        <v>21.81</v>
      </c>
      <c r="F550" s="3">
        <v>5.9</v>
      </c>
      <c r="G550" s="3">
        <v>24.35</v>
      </c>
      <c r="H550" s="4">
        <v>209.53</v>
      </c>
      <c r="I550" s="3">
        <v>89.94</v>
      </c>
      <c r="J550" t="s">
        <v>37</v>
      </c>
      <c r="K550" s="4">
        <v>4.5907099999999996</v>
      </c>
      <c r="L550" s="6" cm="1">
        <f t="array" ref="L550">_xlfn.PERCENTILE.INC(_xlfn._xlws.FILTER(tabla_base[Rendimiento_por_hectarea_ton], tabla_base[tipo_cultivo]=tabla_base[[#This Row],[tipo_cultivo]]), 0.75)</f>
        <v>5.1318025</v>
      </c>
      <c r="M550" s="7" t="str">
        <f>IF(tabla_base[[#This Row],[Rendimiento_por_hectarea_ton]]&gt;tabla_base[[#This Row],[percentil_0,75]],"Sí","No")</f>
        <v>No</v>
      </c>
      <c r="N550" s="3">
        <v>0.59</v>
      </c>
      <c r="O550" t="s">
        <v>26</v>
      </c>
    </row>
    <row r="551" spans="1:15" x14ac:dyDescent="0.35">
      <c r="A551" t="s">
        <v>585</v>
      </c>
      <c r="B551" t="s">
        <v>16</v>
      </c>
      <c r="C551" t="s">
        <v>23</v>
      </c>
      <c r="D551" t="s">
        <v>33</v>
      </c>
      <c r="E551" s="3">
        <v>34.04</v>
      </c>
      <c r="F551" s="3">
        <v>6.48</v>
      </c>
      <c r="G551" s="3">
        <v>23.5</v>
      </c>
      <c r="H551" s="4">
        <v>290.37</v>
      </c>
      <c r="I551" s="3">
        <v>69.98</v>
      </c>
      <c r="J551" t="s">
        <v>19</v>
      </c>
      <c r="K551" s="4">
        <v>3.9980199999999999</v>
      </c>
      <c r="L551" s="6" cm="1">
        <f t="array" ref="L551">_xlfn.PERCENTILE.INC(_xlfn._xlws.FILTER(tabla_base[Rendimiento_por_hectarea_ton], tabla_base[tipo_cultivo]=tabla_base[[#This Row],[tipo_cultivo]]), 0.75)</f>
        <v>5.1635450000000001</v>
      </c>
      <c r="M551" s="7" t="str">
        <f>IF(tabla_base[[#This Row],[Rendimiento_por_hectarea_ton]]&gt;tabla_base[[#This Row],[percentil_0,75]],"Sí","No")</f>
        <v>No</v>
      </c>
      <c r="N551" s="3">
        <v>0.89</v>
      </c>
      <c r="O551" t="s">
        <v>20</v>
      </c>
    </row>
    <row r="552" spans="1:15" x14ac:dyDescent="0.35">
      <c r="A552" t="s">
        <v>586</v>
      </c>
      <c r="B552" t="s">
        <v>22</v>
      </c>
      <c r="C552" t="s">
        <v>30</v>
      </c>
      <c r="D552" t="s">
        <v>24</v>
      </c>
      <c r="E552" s="3">
        <v>38.619999999999997</v>
      </c>
      <c r="F552" s="3">
        <v>6.76</v>
      </c>
      <c r="G552" s="3">
        <v>19.579999999999998</v>
      </c>
      <c r="H552" s="4">
        <v>185.72</v>
      </c>
      <c r="I552" s="3">
        <v>68.069999999999993</v>
      </c>
      <c r="J552" t="s">
        <v>25</v>
      </c>
      <c r="K552" s="4">
        <v>5.9673600000000002</v>
      </c>
      <c r="L552" s="6" cm="1">
        <f t="array" ref="L552">_xlfn.PERCENTILE.INC(_xlfn._xlws.FILTER(tabla_base[Rendimiento_por_hectarea_ton], tabla_base[tipo_cultivo]=tabla_base[[#This Row],[tipo_cultivo]]), 0.75)</f>
        <v>5.3984449999999997</v>
      </c>
      <c r="M552" s="7" t="str">
        <f>IF(tabla_base[[#This Row],[Rendimiento_por_hectarea_ton]]&gt;tabla_base[[#This Row],[percentil_0,75]],"Sí","No")</f>
        <v>Sí</v>
      </c>
      <c r="N552" s="3">
        <v>0.71</v>
      </c>
      <c r="O552" t="s">
        <v>19</v>
      </c>
    </row>
    <row r="553" spans="1:15" x14ac:dyDescent="0.35">
      <c r="A553" t="s">
        <v>587</v>
      </c>
      <c r="B553" t="s">
        <v>22</v>
      </c>
      <c r="C553" t="s">
        <v>30</v>
      </c>
      <c r="D553" t="s">
        <v>35</v>
      </c>
      <c r="E553" s="3">
        <v>39.79</v>
      </c>
      <c r="F553" s="3">
        <v>7.48</v>
      </c>
      <c r="G553" s="3">
        <v>15.13</v>
      </c>
      <c r="H553" s="4">
        <v>245.42</v>
      </c>
      <c r="I553" s="3">
        <v>70.5</v>
      </c>
      <c r="J553" t="s">
        <v>28</v>
      </c>
      <c r="K553" s="4">
        <v>5.0333100000000002</v>
      </c>
      <c r="L553" s="6" cm="1">
        <f t="array" ref="L553">_xlfn.PERCENTILE.INC(_xlfn._xlws.FILTER(tabla_base[Rendimiento_por_hectarea_ton], tabla_base[tipo_cultivo]=tabla_base[[#This Row],[tipo_cultivo]]), 0.75)</f>
        <v>5.1318025</v>
      </c>
      <c r="M553" s="7" t="str">
        <f>IF(tabla_base[[#This Row],[Rendimiento_por_hectarea_ton]]&gt;tabla_base[[#This Row],[percentil_0,75]],"Sí","No")</f>
        <v>No</v>
      </c>
      <c r="N553" s="3">
        <v>0.66</v>
      </c>
      <c r="O553" t="s">
        <v>26</v>
      </c>
    </row>
    <row r="554" spans="1:15" x14ac:dyDescent="0.35">
      <c r="A554" t="s">
        <v>588</v>
      </c>
      <c r="B554" t="s">
        <v>16</v>
      </c>
      <c r="C554" t="s">
        <v>23</v>
      </c>
      <c r="D554" t="s">
        <v>18</v>
      </c>
      <c r="E554" s="3">
        <v>20.21</v>
      </c>
      <c r="F554" s="3">
        <v>6.21</v>
      </c>
      <c r="G554" s="3">
        <v>15.96</v>
      </c>
      <c r="H554" s="4">
        <v>92.59</v>
      </c>
      <c r="I554" s="3">
        <v>50.16</v>
      </c>
      <c r="J554" t="s">
        <v>37</v>
      </c>
      <c r="K554" s="4">
        <v>4.4642200000000001</v>
      </c>
      <c r="L554" s="6" cm="1">
        <f t="array" ref="L554">_xlfn.PERCENTILE.INC(_xlfn._xlws.FILTER(tabla_base[Rendimiento_por_hectarea_ton], tabla_base[tipo_cultivo]=tabla_base[[#This Row],[tipo_cultivo]]), 0.75)</f>
        <v>5.2079399999999998</v>
      </c>
      <c r="M554" s="7" t="str">
        <f>IF(tabla_base[[#This Row],[Rendimiento_por_hectarea_ton]]&gt;tabla_base[[#This Row],[percentil_0,75]],"Sí","No")</f>
        <v>No</v>
      </c>
      <c r="N554" s="3">
        <v>0.67</v>
      </c>
      <c r="O554" t="s">
        <v>20</v>
      </c>
    </row>
    <row r="555" spans="1:15" x14ac:dyDescent="0.35">
      <c r="A555" t="s">
        <v>589</v>
      </c>
      <c r="B555" t="s">
        <v>22</v>
      </c>
      <c r="C555" t="s">
        <v>30</v>
      </c>
      <c r="D555" t="s">
        <v>31</v>
      </c>
      <c r="E555" s="3">
        <v>38.33</v>
      </c>
      <c r="F555" s="3">
        <v>6.43</v>
      </c>
      <c r="G555" s="3">
        <v>24.46</v>
      </c>
      <c r="H555" s="4">
        <v>169.37</v>
      </c>
      <c r="I555" s="3">
        <v>78.81</v>
      </c>
      <c r="J555" t="s">
        <v>25</v>
      </c>
      <c r="K555" s="4">
        <v>2.84314</v>
      </c>
      <c r="L555" s="6" cm="1">
        <f t="array" ref="L555">_xlfn.PERCENTILE.INC(_xlfn._xlws.FILTER(tabla_base[Rendimiento_por_hectarea_ton], tabla_base[tipo_cultivo]=tabla_base[[#This Row],[tipo_cultivo]]), 0.75)</f>
        <v>5.1742550000000005</v>
      </c>
      <c r="M555" s="7" t="str">
        <f>IF(tabla_base[[#This Row],[Rendimiento_por_hectarea_ton]]&gt;tabla_base[[#This Row],[percentil_0,75]],"Sí","No")</f>
        <v>No</v>
      </c>
      <c r="N555" s="3">
        <v>0.76</v>
      </c>
      <c r="O555" t="s">
        <v>20</v>
      </c>
    </row>
    <row r="556" spans="1:15" x14ac:dyDescent="0.35">
      <c r="A556" t="s">
        <v>590</v>
      </c>
      <c r="B556" t="s">
        <v>22</v>
      </c>
      <c r="C556" t="s">
        <v>30</v>
      </c>
      <c r="D556" t="s">
        <v>18</v>
      </c>
      <c r="E556" s="3">
        <v>39.049999999999997</v>
      </c>
      <c r="F556" s="3">
        <v>6.77</v>
      </c>
      <c r="G556" s="3">
        <v>17.87</v>
      </c>
      <c r="H556" s="4">
        <v>127.55</v>
      </c>
      <c r="I556" s="3">
        <v>80.17</v>
      </c>
      <c r="J556" t="s">
        <v>19</v>
      </c>
      <c r="K556" s="4">
        <v>6.3565699999999996</v>
      </c>
      <c r="L556" s="6" cm="1">
        <f t="array" ref="L556">_xlfn.PERCENTILE.INC(_xlfn._xlws.FILTER(tabla_base[Rendimiento_por_hectarea_ton], tabla_base[tipo_cultivo]=tabla_base[[#This Row],[tipo_cultivo]]), 0.75)</f>
        <v>5.2079399999999998</v>
      </c>
      <c r="M556" s="7" t="str">
        <f>IF(tabla_base[[#This Row],[Rendimiento_por_hectarea_ton]]&gt;tabla_base[[#This Row],[percentil_0,75]],"Sí","No")</f>
        <v>Sí</v>
      </c>
      <c r="N556" s="3">
        <v>0.82</v>
      </c>
      <c r="O556" t="s">
        <v>26</v>
      </c>
    </row>
    <row r="557" spans="1:15" x14ac:dyDescent="0.35">
      <c r="A557" t="s">
        <v>591</v>
      </c>
      <c r="B557" t="s">
        <v>16</v>
      </c>
      <c r="C557" t="s">
        <v>17</v>
      </c>
      <c r="D557" t="s">
        <v>547</v>
      </c>
      <c r="E557" s="3">
        <v>29.95</v>
      </c>
      <c r="F557" s="3">
        <v>6.69</v>
      </c>
      <c r="G557" s="3">
        <v>34.03</v>
      </c>
      <c r="H557" s="4">
        <v>194.18</v>
      </c>
      <c r="I557" s="3">
        <v>64.12</v>
      </c>
      <c r="J557" t="s">
        <v>25</v>
      </c>
      <c r="K557" s="4">
        <v>3.8919700000000002</v>
      </c>
      <c r="L557" s="6" cm="1">
        <f t="array" ref="L557">_xlfn.PERCENTILE.INC(_xlfn._xlws.FILTER(tabla_base[Rendimiento_por_hectarea_ton], tabla_base[tipo_cultivo]=tabla_base[[#This Row],[tipo_cultivo]]), 0.75)</f>
        <v>5.2323700000000004</v>
      </c>
      <c r="M557" s="7" t="str">
        <f>IF(tabla_base[[#This Row],[Rendimiento_por_hectarea_ton]]&gt;tabla_base[[#This Row],[percentil_0,75]],"Sí","No")</f>
        <v>No</v>
      </c>
      <c r="N557" s="3">
        <v>0.51</v>
      </c>
      <c r="O557" t="s">
        <v>20</v>
      </c>
    </row>
    <row r="558" spans="1:15" x14ac:dyDescent="0.35">
      <c r="A558" t="s">
        <v>592</v>
      </c>
      <c r="B558" t="s">
        <v>22</v>
      </c>
      <c r="C558" t="s">
        <v>30</v>
      </c>
      <c r="D558" t="s">
        <v>547</v>
      </c>
      <c r="E558" s="3">
        <v>15.44</v>
      </c>
      <c r="F558" s="3">
        <v>6.2</v>
      </c>
      <c r="G558" s="3">
        <v>20.76</v>
      </c>
      <c r="H558" s="4">
        <v>241.66</v>
      </c>
      <c r="I558" s="3">
        <v>79.14</v>
      </c>
      <c r="J558" t="s">
        <v>37</v>
      </c>
      <c r="K558" s="4">
        <v>5.6755100000000001</v>
      </c>
      <c r="L558" s="6" cm="1">
        <f t="array" ref="L558">_xlfn.PERCENTILE.INC(_xlfn._xlws.FILTER(tabla_base[Rendimiento_por_hectarea_ton], tabla_base[tipo_cultivo]=tabla_base[[#This Row],[tipo_cultivo]]), 0.75)</f>
        <v>5.2323700000000004</v>
      </c>
      <c r="M558" s="7" t="str">
        <f>IF(tabla_base[[#This Row],[Rendimiento_por_hectarea_ton]]&gt;tabla_base[[#This Row],[percentil_0,75]],"Sí","No")</f>
        <v>Sí</v>
      </c>
      <c r="N558" s="3">
        <v>0.81</v>
      </c>
      <c r="O558" t="s">
        <v>26</v>
      </c>
    </row>
    <row r="559" spans="1:15" x14ac:dyDescent="0.35">
      <c r="A559" t="s">
        <v>593</v>
      </c>
      <c r="B559" t="s">
        <v>16</v>
      </c>
      <c r="C559" t="s">
        <v>17</v>
      </c>
      <c r="D559" t="s">
        <v>18</v>
      </c>
      <c r="E559" s="3">
        <v>38.5</v>
      </c>
      <c r="F559" s="3">
        <v>7.23</v>
      </c>
      <c r="G559" s="3">
        <v>31.01</v>
      </c>
      <c r="H559" s="4">
        <v>96.87</v>
      </c>
      <c r="I559" s="3">
        <v>55.43</v>
      </c>
      <c r="J559" t="s">
        <v>25</v>
      </c>
      <c r="K559" s="4">
        <v>3.8244099999999999</v>
      </c>
      <c r="L559" s="6" cm="1">
        <f t="array" ref="L559">_xlfn.PERCENTILE.INC(_xlfn._xlws.FILTER(tabla_base[Rendimiento_por_hectarea_ton], tabla_base[tipo_cultivo]=tabla_base[[#This Row],[tipo_cultivo]]), 0.75)</f>
        <v>5.2079399999999998</v>
      </c>
      <c r="M559" s="7" t="str">
        <f>IF(tabla_base[[#This Row],[Rendimiento_por_hectarea_ton]]&gt;tabla_base[[#This Row],[percentil_0,75]],"Sí","No")</f>
        <v>No</v>
      </c>
      <c r="N559" s="3">
        <v>0.69</v>
      </c>
      <c r="O559" t="s">
        <v>19</v>
      </c>
    </row>
    <row r="560" spans="1:15" x14ac:dyDescent="0.35">
      <c r="A560" t="s">
        <v>594</v>
      </c>
      <c r="B560" t="s">
        <v>22</v>
      </c>
      <c r="C560" t="s">
        <v>23</v>
      </c>
      <c r="D560" t="s">
        <v>24</v>
      </c>
      <c r="E560" s="3">
        <v>32.85</v>
      </c>
      <c r="F560" s="3">
        <v>6.99</v>
      </c>
      <c r="G560" s="3">
        <v>28.83</v>
      </c>
      <c r="H560" s="4">
        <v>277.11</v>
      </c>
      <c r="I560" s="3">
        <v>79.12</v>
      </c>
      <c r="J560" t="s">
        <v>28</v>
      </c>
      <c r="K560" s="4">
        <v>5.8692399999999996</v>
      </c>
      <c r="L560" s="6" cm="1">
        <f t="array" ref="L560">_xlfn.PERCENTILE.INC(_xlfn._xlws.FILTER(tabla_base[Rendimiento_por_hectarea_ton], tabla_base[tipo_cultivo]=tabla_base[[#This Row],[tipo_cultivo]]), 0.75)</f>
        <v>5.3984449999999997</v>
      </c>
      <c r="M560" s="7" t="str">
        <f>IF(tabla_base[[#This Row],[Rendimiento_por_hectarea_ton]]&gt;tabla_base[[#This Row],[percentil_0,75]],"Sí","No")</f>
        <v>Sí</v>
      </c>
      <c r="N560" s="3">
        <v>0.85</v>
      </c>
      <c r="O560" t="s">
        <v>26</v>
      </c>
    </row>
    <row r="561" spans="1:15" x14ac:dyDescent="0.35">
      <c r="A561" t="s">
        <v>595</v>
      </c>
      <c r="B561" t="s">
        <v>22</v>
      </c>
      <c r="C561" t="s">
        <v>30</v>
      </c>
      <c r="D561" t="s">
        <v>547</v>
      </c>
      <c r="E561" s="3">
        <v>21.7</v>
      </c>
      <c r="F561" s="3">
        <v>6.16</v>
      </c>
      <c r="G561" s="3">
        <v>19.11</v>
      </c>
      <c r="H561" s="4">
        <v>88.01</v>
      </c>
      <c r="I561" s="3">
        <v>70.59</v>
      </c>
      <c r="J561" t="s">
        <v>25</v>
      </c>
      <c r="K561" s="4">
        <v>3.54758</v>
      </c>
      <c r="L561" s="6" cm="1">
        <f t="array" ref="L561">_xlfn.PERCENTILE.INC(_xlfn._xlws.FILTER(tabla_base[Rendimiento_por_hectarea_ton], tabla_base[tipo_cultivo]=tabla_base[[#This Row],[tipo_cultivo]]), 0.75)</f>
        <v>5.2323700000000004</v>
      </c>
      <c r="M561" s="7" t="str">
        <f>IF(tabla_base[[#This Row],[Rendimiento_por_hectarea_ton]]&gt;tabla_base[[#This Row],[percentil_0,75]],"Sí","No")</f>
        <v>No</v>
      </c>
      <c r="N561" s="3">
        <v>0.6</v>
      </c>
      <c r="O561" t="s">
        <v>26</v>
      </c>
    </row>
    <row r="562" spans="1:15" x14ac:dyDescent="0.35">
      <c r="A562" t="s">
        <v>596</v>
      </c>
      <c r="B562" t="s">
        <v>16</v>
      </c>
      <c r="C562" t="s">
        <v>17</v>
      </c>
      <c r="D562" t="s">
        <v>35</v>
      </c>
      <c r="E562" s="3">
        <v>36.049999999999997</v>
      </c>
      <c r="F562" s="3">
        <v>6.29</v>
      </c>
      <c r="G562" s="3">
        <v>26.9</v>
      </c>
      <c r="H562" s="4">
        <v>231.86</v>
      </c>
      <c r="I562" s="3">
        <v>67.83</v>
      </c>
      <c r="J562" t="s">
        <v>28</v>
      </c>
      <c r="K562" s="4">
        <v>3.4024800000000002</v>
      </c>
      <c r="L562" s="6" cm="1">
        <f t="array" ref="L562">_xlfn.PERCENTILE.INC(_xlfn._xlws.FILTER(tabla_base[Rendimiento_por_hectarea_ton], tabla_base[tipo_cultivo]=tabla_base[[#This Row],[tipo_cultivo]]), 0.75)</f>
        <v>5.1318025</v>
      </c>
      <c r="M562" s="7" t="str">
        <f>IF(tabla_base[[#This Row],[Rendimiento_por_hectarea_ton]]&gt;tabla_base[[#This Row],[percentil_0,75]],"Sí","No")</f>
        <v>No</v>
      </c>
      <c r="N562" s="3">
        <v>0.86</v>
      </c>
      <c r="O562" t="s">
        <v>19</v>
      </c>
    </row>
    <row r="563" spans="1:15" x14ac:dyDescent="0.35">
      <c r="A563" t="s">
        <v>597</v>
      </c>
      <c r="B563" t="s">
        <v>22</v>
      </c>
      <c r="C563" t="s">
        <v>23</v>
      </c>
      <c r="D563" t="s">
        <v>33</v>
      </c>
      <c r="E563" s="3">
        <v>33.869999999999997</v>
      </c>
      <c r="F563" s="3">
        <v>5.77</v>
      </c>
      <c r="G563" s="3">
        <v>34.15</v>
      </c>
      <c r="H563" s="4">
        <v>120.44</v>
      </c>
      <c r="I563" s="3">
        <v>83.99</v>
      </c>
      <c r="J563" t="s">
        <v>19</v>
      </c>
      <c r="K563" s="4">
        <v>3.01661</v>
      </c>
      <c r="L563" s="6" cm="1">
        <f t="array" ref="L563">_xlfn.PERCENTILE.INC(_xlfn._xlws.FILTER(tabla_base[Rendimiento_por_hectarea_ton], tabla_base[tipo_cultivo]=tabla_base[[#This Row],[tipo_cultivo]]), 0.75)</f>
        <v>5.1635450000000001</v>
      </c>
      <c r="M563" s="7" t="str">
        <f>IF(tabla_base[[#This Row],[Rendimiento_por_hectarea_ton]]&gt;tabla_base[[#This Row],[percentil_0,75]],"Sí","No")</f>
        <v>No</v>
      </c>
      <c r="N563" s="3">
        <v>0.65</v>
      </c>
      <c r="O563" t="s">
        <v>20</v>
      </c>
    </row>
    <row r="564" spans="1:15" x14ac:dyDescent="0.35">
      <c r="A564" t="s">
        <v>598</v>
      </c>
      <c r="B564" t="s">
        <v>22</v>
      </c>
      <c r="C564" t="s">
        <v>17</v>
      </c>
      <c r="D564" t="s">
        <v>18</v>
      </c>
      <c r="E564" s="3">
        <v>26.74</v>
      </c>
      <c r="F564" s="3">
        <v>6.88</v>
      </c>
      <c r="G564" s="3">
        <v>17.64</v>
      </c>
      <c r="H564" s="4">
        <v>118.55</v>
      </c>
      <c r="I564" s="3">
        <v>78.569999999999993</v>
      </c>
      <c r="J564" t="s">
        <v>19</v>
      </c>
      <c r="K564" s="4">
        <v>2.8708300000000002</v>
      </c>
      <c r="L564" s="6" cm="1">
        <f t="array" ref="L564">_xlfn.PERCENTILE.INC(_xlfn._xlws.FILTER(tabla_base[Rendimiento_por_hectarea_ton], tabla_base[tipo_cultivo]=tabla_base[[#This Row],[tipo_cultivo]]), 0.75)</f>
        <v>5.2079399999999998</v>
      </c>
      <c r="M564" s="7" t="str">
        <f>IF(tabla_base[[#This Row],[Rendimiento_por_hectarea_ton]]&gt;tabla_base[[#This Row],[percentil_0,75]],"Sí","No")</f>
        <v>No</v>
      </c>
      <c r="N564" s="3">
        <v>0.62</v>
      </c>
      <c r="O564" t="s">
        <v>19</v>
      </c>
    </row>
    <row r="565" spans="1:15" x14ac:dyDescent="0.35">
      <c r="A565" t="s">
        <v>599</v>
      </c>
      <c r="B565" t="s">
        <v>16</v>
      </c>
      <c r="C565" t="s">
        <v>17</v>
      </c>
      <c r="D565" t="s">
        <v>18</v>
      </c>
      <c r="E565" s="3">
        <v>28.78</v>
      </c>
      <c r="F565" s="3">
        <v>6.94</v>
      </c>
      <c r="G565" s="3">
        <v>33.549999999999997</v>
      </c>
      <c r="H565" s="4">
        <v>288.07</v>
      </c>
      <c r="I565" s="3">
        <v>78.63</v>
      </c>
      <c r="J565" t="s">
        <v>25</v>
      </c>
      <c r="K565" s="4">
        <v>3.5771899999999999</v>
      </c>
      <c r="L565" s="6" cm="1">
        <f t="array" ref="L565">_xlfn.PERCENTILE.INC(_xlfn._xlws.FILTER(tabla_base[Rendimiento_por_hectarea_ton], tabla_base[tipo_cultivo]=tabla_base[[#This Row],[tipo_cultivo]]), 0.75)</f>
        <v>5.2079399999999998</v>
      </c>
      <c r="M565" s="7" t="str">
        <f>IF(tabla_base[[#This Row],[Rendimiento_por_hectarea_ton]]&gt;tabla_base[[#This Row],[percentil_0,75]],"Sí","No")</f>
        <v>No</v>
      </c>
      <c r="N565" s="3">
        <v>0.82</v>
      </c>
      <c r="O565" t="s">
        <v>26</v>
      </c>
    </row>
    <row r="566" spans="1:15" x14ac:dyDescent="0.35">
      <c r="A566" t="s">
        <v>600</v>
      </c>
      <c r="B566" t="s">
        <v>22</v>
      </c>
      <c r="C566" t="s">
        <v>17</v>
      </c>
      <c r="D566" t="s">
        <v>33</v>
      </c>
      <c r="E566" s="3">
        <v>21.78</v>
      </c>
      <c r="F566" s="3">
        <v>7.35</v>
      </c>
      <c r="G566" s="3">
        <v>18.399999999999999</v>
      </c>
      <c r="H566" s="4">
        <v>298.85000000000002</v>
      </c>
      <c r="I566" s="3">
        <v>68.56</v>
      </c>
      <c r="J566" t="s">
        <v>19</v>
      </c>
      <c r="K566" s="4">
        <v>5.2739000000000003</v>
      </c>
      <c r="L566" s="6" cm="1">
        <f t="array" ref="L566">_xlfn.PERCENTILE.INC(_xlfn._xlws.FILTER(tabla_base[Rendimiento_por_hectarea_ton], tabla_base[tipo_cultivo]=tabla_base[[#This Row],[tipo_cultivo]]), 0.75)</f>
        <v>5.1635450000000001</v>
      </c>
      <c r="M566" s="7" t="str">
        <f>IF(tabla_base[[#This Row],[Rendimiento_por_hectarea_ton]]&gt;tabla_base[[#This Row],[percentil_0,75]],"Sí","No")</f>
        <v>Sí</v>
      </c>
      <c r="N566" s="3">
        <v>0.9</v>
      </c>
      <c r="O566" t="s">
        <v>26</v>
      </c>
    </row>
    <row r="567" spans="1:15" x14ac:dyDescent="0.35">
      <c r="A567" t="s">
        <v>601</v>
      </c>
      <c r="B567" t="s">
        <v>22</v>
      </c>
      <c r="C567" t="s">
        <v>30</v>
      </c>
      <c r="D567" t="s">
        <v>18</v>
      </c>
      <c r="E567" s="3">
        <v>34.340000000000003</v>
      </c>
      <c r="F567" s="3">
        <v>7.47</v>
      </c>
      <c r="G567" s="3">
        <v>34.619999999999997</v>
      </c>
      <c r="H567" s="4">
        <v>289.04000000000002</v>
      </c>
      <c r="I567" s="3">
        <v>60.65</v>
      </c>
      <c r="J567" t="s">
        <v>25</v>
      </c>
      <c r="K567" s="4">
        <v>3.2444500000000001</v>
      </c>
      <c r="L567" s="6" cm="1">
        <f t="array" ref="L567">_xlfn.PERCENTILE.INC(_xlfn._xlws.FILTER(tabla_base[Rendimiento_por_hectarea_ton], tabla_base[tipo_cultivo]=tabla_base[[#This Row],[tipo_cultivo]]), 0.75)</f>
        <v>5.2079399999999998</v>
      </c>
      <c r="M567" s="7" t="str">
        <f>IF(tabla_base[[#This Row],[Rendimiento_por_hectarea_ton]]&gt;tabla_base[[#This Row],[percentil_0,75]],"Sí","No")</f>
        <v>No</v>
      </c>
      <c r="N567" s="3">
        <v>0.88</v>
      </c>
      <c r="O567" t="s">
        <v>19</v>
      </c>
    </row>
    <row r="568" spans="1:15" x14ac:dyDescent="0.35">
      <c r="A568" t="s">
        <v>602</v>
      </c>
      <c r="B568" t="s">
        <v>16</v>
      </c>
      <c r="C568" t="s">
        <v>23</v>
      </c>
      <c r="D568" t="s">
        <v>24</v>
      </c>
      <c r="E568" s="3">
        <v>25.85</v>
      </c>
      <c r="F568" s="3">
        <v>6.54</v>
      </c>
      <c r="G568" s="3">
        <v>27.84</v>
      </c>
      <c r="H568" s="4">
        <v>248.87</v>
      </c>
      <c r="I568" s="3">
        <v>83.91</v>
      </c>
      <c r="J568" t="s">
        <v>19</v>
      </c>
      <c r="K568" s="4">
        <v>4.5905500000000004</v>
      </c>
      <c r="L568" s="6" cm="1">
        <f t="array" ref="L568">_xlfn.PERCENTILE.INC(_xlfn._xlws.FILTER(tabla_base[Rendimiento_por_hectarea_ton], tabla_base[tipo_cultivo]=tabla_base[[#This Row],[tipo_cultivo]]), 0.75)</f>
        <v>5.3984449999999997</v>
      </c>
      <c r="M568" s="7" t="str">
        <f>IF(tabla_base[[#This Row],[Rendimiento_por_hectarea_ton]]&gt;tabla_base[[#This Row],[percentil_0,75]],"Sí","No")</f>
        <v>No</v>
      </c>
      <c r="N568" s="3">
        <v>0.77</v>
      </c>
      <c r="O568" t="s">
        <v>20</v>
      </c>
    </row>
    <row r="569" spans="1:15" x14ac:dyDescent="0.35">
      <c r="A569" t="s">
        <v>603</v>
      </c>
      <c r="B569" t="s">
        <v>22</v>
      </c>
      <c r="C569" t="s">
        <v>23</v>
      </c>
      <c r="D569" t="s">
        <v>24</v>
      </c>
      <c r="E569" s="3">
        <v>23.07</v>
      </c>
      <c r="F569" s="3">
        <v>6.91</v>
      </c>
      <c r="G569" s="3">
        <v>15.94</v>
      </c>
      <c r="H569" s="4">
        <v>288.3</v>
      </c>
      <c r="I569" s="3">
        <v>57.07</v>
      </c>
      <c r="J569" t="s">
        <v>19</v>
      </c>
      <c r="K569" s="4">
        <v>6.0645199999999999</v>
      </c>
      <c r="L569" s="6" cm="1">
        <f t="array" ref="L569">_xlfn.PERCENTILE.INC(_xlfn._xlws.FILTER(tabla_base[Rendimiento_por_hectarea_ton], tabla_base[tipo_cultivo]=tabla_base[[#This Row],[tipo_cultivo]]), 0.75)</f>
        <v>5.3984449999999997</v>
      </c>
      <c r="M569" s="7" t="str">
        <f>IF(tabla_base[[#This Row],[Rendimiento_por_hectarea_ton]]&gt;tabla_base[[#This Row],[percentil_0,75]],"Sí","No")</f>
        <v>Sí</v>
      </c>
      <c r="N569" s="3">
        <v>0.78</v>
      </c>
      <c r="O569" t="s">
        <v>26</v>
      </c>
    </row>
    <row r="570" spans="1:15" x14ac:dyDescent="0.35">
      <c r="A570" t="s">
        <v>604</v>
      </c>
      <c r="B570" t="s">
        <v>22</v>
      </c>
      <c r="C570" t="s">
        <v>23</v>
      </c>
      <c r="D570" t="s">
        <v>547</v>
      </c>
      <c r="E570" s="3">
        <v>18.36</v>
      </c>
      <c r="F570" s="3">
        <v>7.08</v>
      </c>
      <c r="G570" s="3">
        <v>19.05</v>
      </c>
      <c r="H570" s="4">
        <v>54.75</v>
      </c>
      <c r="I570" s="3">
        <v>74.5</v>
      </c>
      <c r="J570" t="s">
        <v>19</v>
      </c>
      <c r="K570" s="4">
        <v>4.5867699999999996</v>
      </c>
      <c r="L570" s="6" cm="1">
        <f t="array" ref="L570">_xlfn.PERCENTILE.INC(_xlfn._xlws.FILTER(tabla_base[Rendimiento_por_hectarea_ton], tabla_base[tipo_cultivo]=tabla_base[[#This Row],[tipo_cultivo]]), 0.75)</f>
        <v>5.2323700000000004</v>
      </c>
      <c r="M570" s="7" t="str">
        <f>IF(tabla_base[[#This Row],[Rendimiento_por_hectarea_ton]]&gt;tabla_base[[#This Row],[percentil_0,75]],"Sí","No")</f>
        <v>No</v>
      </c>
      <c r="N570" s="3">
        <v>0.57999999999999996</v>
      </c>
      <c r="O570" t="s">
        <v>20</v>
      </c>
    </row>
    <row r="571" spans="1:15" x14ac:dyDescent="0.35">
      <c r="A571" t="s">
        <v>605</v>
      </c>
      <c r="B571" t="s">
        <v>16</v>
      </c>
      <c r="C571" t="s">
        <v>40</v>
      </c>
      <c r="D571" t="s">
        <v>18</v>
      </c>
      <c r="E571" s="3">
        <v>20.88</v>
      </c>
      <c r="F571" s="3">
        <v>6.47</v>
      </c>
      <c r="G571" s="3">
        <v>33.64</v>
      </c>
      <c r="H571" s="4">
        <v>247.73</v>
      </c>
      <c r="I571" s="3">
        <v>63.52</v>
      </c>
      <c r="J571" t="s">
        <v>37</v>
      </c>
      <c r="K571" s="4">
        <v>6.1770500000000004</v>
      </c>
      <c r="L571" s="6" cm="1">
        <f t="array" ref="L571">_xlfn.PERCENTILE.INC(_xlfn._xlws.FILTER(tabla_base[Rendimiento_por_hectarea_ton], tabla_base[tipo_cultivo]=tabla_base[[#This Row],[tipo_cultivo]]), 0.75)</f>
        <v>5.2079399999999998</v>
      </c>
      <c r="M571" s="7" t="str">
        <f>IF(tabla_base[[#This Row],[Rendimiento_por_hectarea_ton]]&gt;tabla_base[[#This Row],[percentil_0,75]],"Sí","No")</f>
        <v>Sí</v>
      </c>
      <c r="N571" s="3">
        <v>0.86</v>
      </c>
      <c r="O571" t="s">
        <v>20</v>
      </c>
    </row>
    <row r="572" spans="1:15" x14ac:dyDescent="0.35">
      <c r="A572" t="s">
        <v>606</v>
      </c>
      <c r="B572" t="s">
        <v>22</v>
      </c>
      <c r="C572" t="s">
        <v>23</v>
      </c>
      <c r="D572" t="s">
        <v>547</v>
      </c>
      <c r="E572" s="3">
        <v>23.83</v>
      </c>
      <c r="F572" s="3">
        <v>6.55</v>
      </c>
      <c r="G572" s="3">
        <v>27.83</v>
      </c>
      <c r="H572" s="4">
        <v>221.06</v>
      </c>
      <c r="I572" s="3">
        <v>87.04</v>
      </c>
      <c r="J572" t="s">
        <v>25</v>
      </c>
      <c r="K572" s="4">
        <v>6.1341099999999997</v>
      </c>
      <c r="L572" s="6" cm="1">
        <f t="array" ref="L572">_xlfn.PERCENTILE.INC(_xlfn._xlws.FILTER(tabla_base[Rendimiento_por_hectarea_ton], tabla_base[tipo_cultivo]=tabla_base[[#This Row],[tipo_cultivo]]), 0.75)</f>
        <v>5.2323700000000004</v>
      </c>
      <c r="M572" s="7" t="str">
        <f>IF(tabla_base[[#This Row],[Rendimiento_por_hectarea_ton]]&gt;tabla_base[[#This Row],[percentil_0,75]],"Sí","No")</f>
        <v>Sí</v>
      </c>
      <c r="N572" s="3">
        <v>0.7</v>
      </c>
      <c r="O572" t="s">
        <v>19</v>
      </c>
    </row>
    <row r="573" spans="1:15" x14ac:dyDescent="0.35">
      <c r="A573" t="s">
        <v>607</v>
      </c>
      <c r="B573" t="s">
        <v>22</v>
      </c>
      <c r="C573" t="s">
        <v>30</v>
      </c>
      <c r="D573" t="s">
        <v>547</v>
      </c>
      <c r="E573" s="3">
        <v>32.93</v>
      </c>
      <c r="F573" s="3">
        <v>7.15</v>
      </c>
      <c r="G573" s="3">
        <v>18.04</v>
      </c>
      <c r="H573" s="4">
        <v>160.69999999999999</v>
      </c>
      <c r="I573" s="3">
        <v>74.27</v>
      </c>
      <c r="J573" t="s">
        <v>37</v>
      </c>
      <c r="K573" s="4">
        <v>3.4212400000000001</v>
      </c>
      <c r="L573" s="6" cm="1">
        <f t="array" ref="L573">_xlfn.PERCENTILE.INC(_xlfn._xlws.FILTER(tabla_base[Rendimiento_por_hectarea_ton], tabla_base[tipo_cultivo]=tabla_base[[#This Row],[tipo_cultivo]]), 0.75)</f>
        <v>5.2323700000000004</v>
      </c>
      <c r="M573" s="7" t="str">
        <f>IF(tabla_base[[#This Row],[Rendimiento_por_hectarea_ton]]&gt;tabla_base[[#This Row],[percentil_0,75]],"Sí","No")</f>
        <v>No</v>
      </c>
      <c r="N573" s="3">
        <v>0.5</v>
      </c>
      <c r="O573" t="s">
        <v>19</v>
      </c>
    </row>
    <row r="574" spans="1:15" x14ac:dyDescent="0.35">
      <c r="A574" t="s">
        <v>608</v>
      </c>
      <c r="B574" t="s">
        <v>22</v>
      </c>
      <c r="C574" t="s">
        <v>23</v>
      </c>
      <c r="D574" t="s">
        <v>24</v>
      </c>
      <c r="E574" s="3">
        <v>26.91</v>
      </c>
      <c r="F574" s="3">
        <v>6.02</v>
      </c>
      <c r="G574" s="3">
        <v>17.420000000000002</v>
      </c>
      <c r="H574" s="4">
        <v>194.53</v>
      </c>
      <c r="I574" s="3">
        <v>75.099999999999994</v>
      </c>
      <c r="J574" t="s">
        <v>37</v>
      </c>
      <c r="K574" s="4">
        <v>3.6901000000000002</v>
      </c>
      <c r="L574" s="6" cm="1">
        <f t="array" ref="L574">_xlfn.PERCENTILE.INC(_xlfn._xlws.FILTER(tabla_base[Rendimiento_por_hectarea_ton], tabla_base[tipo_cultivo]=tabla_base[[#This Row],[tipo_cultivo]]), 0.75)</f>
        <v>5.3984449999999997</v>
      </c>
      <c r="M574" s="7" t="str">
        <f>IF(tabla_base[[#This Row],[Rendimiento_por_hectarea_ton]]&gt;tabla_base[[#This Row],[percentil_0,75]],"Sí","No")</f>
        <v>No</v>
      </c>
      <c r="N574" s="3">
        <v>0.57999999999999996</v>
      </c>
      <c r="O574" t="s">
        <v>19</v>
      </c>
    </row>
    <row r="575" spans="1:15" x14ac:dyDescent="0.35">
      <c r="A575" t="s">
        <v>609</v>
      </c>
      <c r="B575" t="s">
        <v>22</v>
      </c>
      <c r="C575" t="s">
        <v>23</v>
      </c>
      <c r="D575" t="s">
        <v>31</v>
      </c>
      <c r="E575" s="3">
        <v>36.200000000000003</v>
      </c>
      <c r="F575" s="3">
        <v>7.09</v>
      </c>
      <c r="G575" s="3">
        <v>24.7</v>
      </c>
      <c r="H575" s="4">
        <v>90.62</v>
      </c>
      <c r="I575" s="3">
        <v>58.8</v>
      </c>
      <c r="J575" t="s">
        <v>28</v>
      </c>
      <c r="K575" s="4">
        <v>3.3934000000000002</v>
      </c>
      <c r="L575" s="6" cm="1">
        <f t="array" ref="L575">_xlfn.PERCENTILE.INC(_xlfn._xlws.FILTER(tabla_base[Rendimiento_por_hectarea_ton], tabla_base[tipo_cultivo]=tabla_base[[#This Row],[tipo_cultivo]]), 0.75)</f>
        <v>5.1742550000000005</v>
      </c>
      <c r="M575" s="7" t="str">
        <f>IF(tabla_base[[#This Row],[Rendimiento_por_hectarea_ton]]&gt;tabla_base[[#This Row],[percentil_0,75]],"Sí","No")</f>
        <v>No</v>
      </c>
      <c r="N575" s="3">
        <v>0.86</v>
      </c>
      <c r="O575" t="s">
        <v>26</v>
      </c>
    </row>
    <row r="576" spans="1:15" x14ac:dyDescent="0.35">
      <c r="A576" t="s">
        <v>610</v>
      </c>
      <c r="B576" t="s">
        <v>22</v>
      </c>
      <c r="C576" t="s">
        <v>23</v>
      </c>
      <c r="D576" t="s">
        <v>33</v>
      </c>
      <c r="E576" s="3">
        <v>36.950000000000003</v>
      </c>
      <c r="F576" s="3">
        <v>7.4</v>
      </c>
      <c r="G576" s="3">
        <v>20.34</v>
      </c>
      <c r="H576" s="4">
        <v>159.44999999999999</v>
      </c>
      <c r="I576" s="3">
        <v>67.77</v>
      </c>
      <c r="J576" t="s">
        <v>25</v>
      </c>
      <c r="K576" s="4">
        <v>4.97959</v>
      </c>
      <c r="L576" s="6" cm="1">
        <f t="array" ref="L576">_xlfn.PERCENTILE.INC(_xlfn._xlws.FILTER(tabla_base[Rendimiento_por_hectarea_ton], tabla_base[tipo_cultivo]=tabla_base[[#This Row],[tipo_cultivo]]), 0.75)</f>
        <v>5.1635450000000001</v>
      </c>
      <c r="M576" s="7" t="str">
        <f>IF(tabla_base[[#This Row],[Rendimiento_por_hectarea_ton]]&gt;tabla_base[[#This Row],[percentil_0,75]],"Sí","No")</f>
        <v>No</v>
      </c>
      <c r="N576" s="3">
        <v>0.66</v>
      </c>
      <c r="O576" t="s">
        <v>19</v>
      </c>
    </row>
    <row r="577" spans="1:15" x14ac:dyDescent="0.35">
      <c r="A577" t="s">
        <v>611</v>
      </c>
      <c r="B577" t="s">
        <v>22</v>
      </c>
      <c r="C577" t="s">
        <v>23</v>
      </c>
      <c r="D577" t="s">
        <v>35</v>
      </c>
      <c r="E577" s="3">
        <v>19.59</v>
      </c>
      <c r="F577" s="3">
        <v>6.64</v>
      </c>
      <c r="G577" s="3">
        <v>23.04</v>
      </c>
      <c r="H577" s="4">
        <v>100.62</v>
      </c>
      <c r="I577" s="3">
        <v>84.66</v>
      </c>
      <c r="J577" t="s">
        <v>37</v>
      </c>
      <c r="K577" s="4">
        <v>3.3089200000000001</v>
      </c>
      <c r="L577" s="6" cm="1">
        <f t="array" ref="L577">_xlfn.PERCENTILE.INC(_xlfn._xlws.FILTER(tabla_base[Rendimiento_por_hectarea_ton], tabla_base[tipo_cultivo]=tabla_base[[#This Row],[tipo_cultivo]]), 0.75)</f>
        <v>5.1318025</v>
      </c>
      <c r="M577" s="7" t="str">
        <f>IF(tabla_base[[#This Row],[Rendimiento_por_hectarea_ton]]&gt;tabla_base[[#This Row],[percentil_0,75]],"Sí","No")</f>
        <v>No</v>
      </c>
      <c r="N577" s="3">
        <v>0.74</v>
      </c>
      <c r="O577" t="s">
        <v>26</v>
      </c>
    </row>
    <row r="578" spans="1:15" x14ac:dyDescent="0.35">
      <c r="A578" t="s">
        <v>612</v>
      </c>
      <c r="B578" t="s">
        <v>22</v>
      </c>
      <c r="C578" t="s">
        <v>23</v>
      </c>
      <c r="D578" t="s">
        <v>35</v>
      </c>
      <c r="E578" s="3">
        <v>25.43</v>
      </c>
      <c r="F578" s="3">
        <v>6.24</v>
      </c>
      <c r="G578" s="3">
        <v>22.67</v>
      </c>
      <c r="H578" s="4">
        <v>275.14999999999998</v>
      </c>
      <c r="I578" s="3">
        <v>56.05</v>
      </c>
      <c r="J578" t="s">
        <v>19</v>
      </c>
      <c r="K578" s="4">
        <v>3.26709</v>
      </c>
      <c r="L578" s="6" cm="1">
        <f t="array" ref="L578">_xlfn.PERCENTILE.INC(_xlfn._xlws.FILTER(tabla_base[Rendimiento_por_hectarea_ton], tabla_base[tipo_cultivo]=tabla_base[[#This Row],[tipo_cultivo]]), 0.75)</f>
        <v>5.1318025</v>
      </c>
      <c r="M578" s="7" t="str">
        <f>IF(tabla_base[[#This Row],[Rendimiento_por_hectarea_ton]]&gt;tabla_base[[#This Row],[percentil_0,75]],"Sí","No")</f>
        <v>No</v>
      </c>
      <c r="N578" s="3">
        <v>0.6</v>
      </c>
      <c r="O578" t="s">
        <v>26</v>
      </c>
    </row>
    <row r="579" spans="1:15" x14ac:dyDescent="0.35">
      <c r="A579" t="s">
        <v>613</v>
      </c>
      <c r="B579" t="s">
        <v>16</v>
      </c>
      <c r="C579" t="s">
        <v>17</v>
      </c>
      <c r="D579" t="s">
        <v>33</v>
      </c>
      <c r="E579" s="3">
        <v>25.35</v>
      </c>
      <c r="F579" s="3">
        <v>6.8</v>
      </c>
      <c r="G579" s="3">
        <v>19.63</v>
      </c>
      <c r="H579" s="4">
        <v>196.01</v>
      </c>
      <c r="I579" s="3">
        <v>66.150000000000006</v>
      </c>
      <c r="J579" t="s">
        <v>19</v>
      </c>
      <c r="K579" s="4">
        <v>5.3939500000000002</v>
      </c>
      <c r="L579" s="6" cm="1">
        <f t="array" ref="L579">_xlfn.PERCENTILE.INC(_xlfn._xlws.FILTER(tabla_base[Rendimiento_por_hectarea_ton], tabla_base[tipo_cultivo]=tabla_base[[#This Row],[tipo_cultivo]]), 0.75)</f>
        <v>5.1635450000000001</v>
      </c>
      <c r="M579" s="7" t="str">
        <f>IF(tabla_base[[#This Row],[Rendimiento_por_hectarea_ton]]&gt;tabla_base[[#This Row],[percentil_0,75]],"Sí","No")</f>
        <v>Sí</v>
      </c>
      <c r="N579" s="3">
        <v>0.55000000000000004</v>
      </c>
      <c r="O579" t="s">
        <v>26</v>
      </c>
    </row>
    <row r="580" spans="1:15" x14ac:dyDescent="0.35">
      <c r="A580" t="s">
        <v>614</v>
      </c>
      <c r="B580" t="s">
        <v>16</v>
      </c>
      <c r="C580" t="s">
        <v>30</v>
      </c>
      <c r="D580" t="s">
        <v>31</v>
      </c>
      <c r="E580" s="3">
        <v>22</v>
      </c>
      <c r="F580" s="3">
        <v>6.23</v>
      </c>
      <c r="G580" s="3">
        <v>26.95</v>
      </c>
      <c r="H580" s="4">
        <v>157.08000000000001</v>
      </c>
      <c r="I580" s="3">
        <v>67.08</v>
      </c>
      <c r="J580" t="s">
        <v>28</v>
      </c>
      <c r="K580" s="4">
        <v>2.8487800000000001</v>
      </c>
      <c r="L580" s="6" cm="1">
        <f t="array" ref="L580">_xlfn.PERCENTILE.INC(_xlfn._xlws.FILTER(tabla_base[Rendimiento_por_hectarea_ton], tabla_base[tipo_cultivo]=tabla_base[[#This Row],[tipo_cultivo]]), 0.75)</f>
        <v>5.1742550000000005</v>
      </c>
      <c r="M580" s="7" t="str">
        <f>IF(tabla_base[[#This Row],[Rendimiento_por_hectarea_ton]]&gt;tabla_base[[#This Row],[percentil_0,75]],"Sí","No")</f>
        <v>No</v>
      </c>
      <c r="N580" s="3">
        <v>0.83</v>
      </c>
      <c r="O580" t="s">
        <v>20</v>
      </c>
    </row>
    <row r="581" spans="1:15" x14ac:dyDescent="0.35">
      <c r="A581" t="s">
        <v>615</v>
      </c>
      <c r="B581" t="s">
        <v>22</v>
      </c>
      <c r="C581" t="s">
        <v>30</v>
      </c>
      <c r="D581" t="s">
        <v>18</v>
      </c>
      <c r="E581" s="3">
        <v>23.05</v>
      </c>
      <c r="F581" s="3">
        <v>5.92</v>
      </c>
      <c r="G581" s="3">
        <v>18.600000000000001</v>
      </c>
      <c r="H581" s="4">
        <v>144.04</v>
      </c>
      <c r="I581" s="3">
        <v>75.12</v>
      </c>
      <c r="J581" t="s">
        <v>25</v>
      </c>
      <c r="K581" s="4">
        <v>2.6922000000000001</v>
      </c>
      <c r="L581" s="6" cm="1">
        <f t="array" ref="L581">_xlfn.PERCENTILE.INC(_xlfn._xlws.FILTER(tabla_base[Rendimiento_por_hectarea_ton], tabla_base[tipo_cultivo]=tabla_base[[#This Row],[tipo_cultivo]]), 0.75)</f>
        <v>5.2079399999999998</v>
      </c>
      <c r="M581" s="7" t="str">
        <f>IF(tabla_base[[#This Row],[Rendimiento_por_hectarea_ton]]&gt;tabla_base[[#This Row],[percentil_0,75]],"Sí","No")</f>
        <v>No</v>
      </c>
      <c r="N581" s="3">
        <v>0.67</v>
      </c>
      <c r="O581" t="s">
        <v>20</v>
      </c>
    </row>
    <row r="582" spans="1:15" x14ac:dyDescent="0.35">
      <c r="A582" t="s">
        <v>616</v>
      </c>
      <c r="B582" t="s">
        <v>16</v>
      </c>
      <c r="C582" t="s">
        <v>40</v>
      </c>
      <c r="D582" t="s">
        <v>18</v>
      </c>
      <c r="E582" s="3">
        <v>20.86</v>
      </c>
      <c r="F582" s="3">
        <v>7.25</v>
      </c>
      <c r="G582" s="3">
        <v>27.71</v>
      </c>
      <c r="H582" s="4">
        <v>141.07</v>
      </c>
      <c r="I582" s="3">
        <v>89</v>
      </c>
      <c r="J582" t="s">
        <v>37</v>
      </c>
      <c r="K582" s="4">
        <v>4.7657699999999998</v>
      </c>
      <c r="L582" s="6" cm="1">
        <f t="array" ref="L582">_xlfn.PERCENTILE.INC(_xlfn._xlws.FILTER(tabla_base[Rendimiento_por_hectarea_ton], tabla_base[tipo_cultivo]=tabla_base[[#This Row],[tipo_cultivo]]), 0.75)</f>
        <v>5.2079399999999998</v>
      </c>
      <c r="M582" s="7" t="str">
        <f>IF(tabla_base[[#This Row],[Rendimiento_por_hectarea_ton]]&gt;tabla_base[[#This Row],[percentil_0,75]],"Sí","No")</f>
        <v>No</v>
      </c>
      <c r="N582" s="3">
        <v>0.56000000000000005</v>
      </c>
      <c r="O582" t="s">
        <v>26</v>
      </c>
    </row>
    <row r="583" spans="1:15" x14ac:dyDescent="0.35">
      <c r="A583" t="s">
        <v>617</v>
      </c>
      <c r="B583" t="s">
        <v>22</v>
      </c>
      <c r="C583" t="s">
        <v>30</v>
      </c>
      <c r="D583" t="s">
        <v>18</v>
      </c>
      <c r="E583" s="3">
        <v>32.299999999999997</v>
      </c>
      <c r="F583" s="3">
        <v>5.52</v>
      </c>
      <c r="G583" s="3">
        <v>20.16</v>
      </c>
      <c r="H583" s="4">
        <v>79.48</v>
      </c>
      <c r="I583" s="3">
        <v>74.83</v>
      </c>
      <c r="J583" t="s">
        <v>28</v>
      </c>
      <c r="K583" s="4">
        <v>4.0368000000000004</v>
      </c>
      <c r="L583" s="6" cm="1">
        <f t="array" ref="L583">_xlfn.PERCENTILE.INC(_xlfn._xlws.FILTER(tabla_base[Rendimiento_por_hectarea_ton], tabla_base[tipo_cultivo]=tabla_base[[#This Row],[tipo_cultivo]]), 0.75)</f>
        <v>5.2079399999999998</v>
      </c>
      <c r="M583" s="7" t="str">
        <f>IF(tabla_base[[#This Row],[Rendimiento_por_hectarea_ton]]&gt;tabla_base[[#This Row],[percentil_0,75]],"Sí","No")</f>
        <v>No</v>
      </c>
      <c r="N583" s="3">
        <v>0.74</v>
      </c>
      <c r="O583" t="s">
        <v>26</v>
      </c>
    </row>
    <row r="584" spans="1:15" x14ac:dyDescent="0.35">
      <c r="A584" t="s">
        <v>618</v>
      </c>
      <c r="B584" t="s">
        <v>22</v>
      </c>
      <c r="C584" t="s">
        <v>30</v>
      </c>
      <c r="D584" t="s">
        <v>18</v>
      </c>
      <c r="E584" s="3">
        <v>26.55</v>
      </c>
      <c r="F584" s="3">
        <v>6.53</v>
      </c>
      <c r="G584" s="3">
        <v>33.01</v>
      </c>
      <c r="H584" s="4">
        <v>85.94</v>
      </c>
      <c r="I584" s="3">
        <v>78.489999999999995</v>
      </c>
      <c r="J584" t="s">
        <v>19</v>
      </c>
      <c r="K584" s="4">
        <v>3.8198599999999998</v>
      </c>
      <c r="L584" s="6" cm="1">
        <f t="array" ref="L584">_xlfn.PERCENTILE.INC(_xlfn._xlws.FILTER(tabla_base[Rendimiento_por_hectarea_ton], tabla_base[tipo_cultivo]=tabla_base[[#This Row],[tipo_cultivo]]), 0.75)</f>
        <v>5.2079399999999998</v>
      </c>
      <c r="M584" s="7" t="str">
        <f>IF(tabla_base[[#This Row],[Rendimiento_por_hectarea_ton]]&gt;tabla_base[[#This Row],[percentil_0,75]],"Sí","No")</f>
        <v>No</v>
      </c>
      <c r="N584" s="3">
        <v>0.62</v>
      </c>
      <c r="O584" t="s">
        <v>20</v>
      </c>
    </row>
    <row r="585" spans="1:15" x14ac:dyDescent="0.35">
      <c r="A585" t="s">
        <v>619</v>
      </c>
      <c r="B585" t="s">
        <v>16</v>
      </c>
      <c r="C585" t="s">
        <v>17</v>
      </c>
      <c r="D585" t="s">
        <v>18</v>
      </c>
      <c r="E585" s="3">
        <v>39.590000000000003</v>
      </c>
      <c r="F585" s="3">
        <v>6.25</v>
      </c>
      <c r="G585" s="3">
        <v>30.53</v>
      </c>
      <c r="H585" s="4">
        <v>63.97</v>
      </c>
      <c r="I585" s="3">
        <v>58.82</v>
      </c>
      <c r="J585" t="s">
        <v>19</v>
      </c>
      <c r="K585" s="4">
        <v>3.7848000000000002</v>
      </c>
      <c r="L585" s="6" cm="1">
        <f t="array" ref="L585">_xlfn.PERCENTILE.INC(_xlfn._xlws.FILTER(tabla_base[Rendimiento_por_hectarea_ton], tabla_base[tipo_cultivo]=tabla_base[[#This Row],[tipo_cultivo]]), 0.75)</f>
        <v>5.2079399999999998</v>
      </c>
      <c r="M585" s="7" t="str">
        <f>IF(tabla_base[[#This Row],[Rendimiento_por_hectarea_ton]]&gt;tabla_base[[#This Row],[percentil_0,75]],"Sí","No")</f>
        <v>No</v>
      </c>
      <c r="N585" s="3">
        <v>0.82</v>
      </c>
      <c r="O585" t="s">
        <v>19</v>
      </c>
    </row>
    <row r="586" spans="1:15" x14ac:dyDescent="0.35">
      <c r="A586" t="s">
        <v>620</v>
      </c>
      <c r="B586" t="s">
        <v>544</v>
      </c>
      <c r="C586" t="s">
        <v>23</v>
      </c>
      <c r="D586" t="s">
        <v>24</v>
      </c>
      <c r="E586" s="3">
        <v>30.33</v>
      </c>
      <c r="F586" s="3">
        <v>6.13</v>
      </c>
      <c r="G586" s="3">
        <v>17.579999999999998</v>
      </c>
      <c r="H586" s="4">
        <v>217.28</v>
      </c>
      <c r="I586" s="3">
        <v>52.13</v>
      </c>
      <c r="J586" t="s">
        <v>19</v>
      </c>
      <c r="K586" s="4">
        <v>5.6708600000000002</v>
      </c>
      <c r="L586" s="6" cm="1">
        <f t="array" ref="L586">_xlfn.PERCENTILE.INC(_xlfn._xlws.FILTER(tabla_base[Rendimiento_por_hectarea_ton], tabla_base[tipo_cultivo]=tabla_base[[#This Row],[tipo_cultivo]]), 0.75)</f>
        <v>5.3984449999999997</v>
      </c>
      <c r="M586" s="7" t="str">
        <f>IF(tabla_base[[#This Row],[Rendimiento_por_hectarea_ton]]&gt;tabla_base[[#This Row],[percentil_0,75]],"Sí","No")</f>
        <v>Sí</v>
      </c>
      <c r="N586" s="3">
        <v>0.54</v>
      </c>
      <c r="O586" t="s">
        <v>20</v>
      </c>
    </row>
    <row r="587" spans="1:15" x14ac:dyDescent="0.35">
      <c r="A587" t="s">
        <v>621</v>
      </c>
      <c r="B587" t="s">
        <v>544</v>
      </c>
      <c r="C587" t="s">
        <v>17</v>
      </c>
      <c r="D587" t="s">
        <v>31</v>
      </c>
      <c r="E587" s="3">
        <v>21.82</v>
      </c>
      <c r="F587" s="3">
        <v>5.77</v>
      </c>
      <c r="G587" s="3">
        <v>34.58</v>
      </c>
      <c r="H587" s="4">
        <v>100.06</v>
      </c>
      <c r="I587" s="3">
        <v>56.62</v>
      </c>
      <c r="J587" t="s">
        <v>19</v>
      </c>
      <c r="K587" s="4">
        <v>3.6299700000000001</v>
      </c>
      <c r="L587" s="6" cm="1">
        <f t="array" ref="L587">_xlfn.PERCENTILE.INC(_xlfn._xlws.FILTER(tabla_base[Rendimiento_por_hectarea_ton], tabla_base[tipo_cultivo]=tabla_base[[#This Row],[tipo_cultivo]]), 0.75)</f>
        <v>5.1742550000000005</v>
      </c>
      <c r="M587" s="7" t="str">
        <f>IF(tabla_base[[#This Row],[Rendimiento_por_hectarea_ton]]&gt;tabla_base[[#This Row],[percentil_0,75]],"Sí","No")</f>
        <v>No</v>
      </c>
      <c r="N587" s="3">
        <v>0.8</v>
      </c>
      <c r="O587" t="s">
        <v>20</v>
      </c>
    </row>
    <row r="588" spans="1:15" x14ac:dyDescent="0.35">
      <c r="A588" t="s">
        <v>622</v>
      </c>
      <c r="B588" t="s">
        <v>16</v>
      </c>
      <c r="C588" t="s">
        <v>17</v>
      </c>
      <c r="D588" t="s">
        <v>33</v>
      </c>
      <c r="E588" s="3">
        <v>26.52</v>
      </c>
      <c r="F588" s="3">
        <v>7.27</v>
      </c>
      <c r="G588" s="3">
        <v>33.28</v>
      </c>
      <c r="H588" s="4">
        <v>181.08</v>
      </c>
      <c r="I588" s="3">
        <v>58.78</v>
      </c>
      <c r="J588" t="s">
        <v>25</v>
      </c>
      <c r="K588" s="4">
        <v>4.4532699999999998</v>
      </c>
      <c r="L588" s="6" cm="1">
        <f t="array" ref="L588">_xlfn.PERCENTILE.INC(_xlfn._xlws.FILTER(tabla_base[Rendimiento_por_hectarea_ton], tabla_base[tipo_cultivo]=tabla_base[[#This Row],[tipo_cultivo]]), 0.75)</f>
        <v>5.1635450000000001</v>
      </c>
      <c r="M588" s="7" t="str">
        <f>IF(tabla_base[[#This Row],[Rendimiento_por_hectarea_ton]]&gt;tabla_base[[#This Row],[percentil_0,75]],"Sí","No")</f>
        <v>No</v>
      </c>
      <c r="N588" s="3">
        <v>0.56999999999999995</v>
      </c>
      <c r="O588" t="s">
        <v>26</v>
      </c>
    </row>
    <row r="589" spans="1:15" x14ac:dyDescent="0.35">
      <c r="A589" t="s">
        <v>623</v>
      </c>
      <c r="B589" t="s">
        <v>16</v>
      </c>
      <c r="C589" t="s">
        <v>17</v>
      </c>
      <c r="D589" t="s">
        <v>31</v>
      </c>
      <c r="E589" s="3">
        <v>22.14</v>
      </c>
      <c r="F589" s="3">
        <v>5.75</v>
      </c>
      <c r="G589" s="3">
        <v>16.170000000000002</v>
      </c>
      <c r="H589" s="4">
        <v>65.17</v>
      </c>
      <c r="I589" s="3">
        <v>80.92</v>
      </c>
      <c r="J589" t="s">
        <v>25</v>
      </c>
      <c r="K589" s="4">
        <v>5.5814399999999997</v>
      </c>
      <c r="L589" s="6" cm="1">
        <f t="array" ref="L589">_xlfn.PERCENTILE.INC(_xlfn._xlws.FILTER(tabla_base[Rendimiento_por_hectarea_ton], tabla_base[tipo_cultivo]=tabla_base[[#This Row],[tipo_cultivo]]), 0.75)</f>
        <v>5.1742550000000005</v>
      </c>
      <c r="M589" s="7" t="str">
        <f>IF(tabla_base[[#This Row],[Rendimiento_por_hectarea_ton]]&gt;tabla_base[[#This Row],[percentil_0,75]],"Sí","No")</f>
        <v>Sí</v>
      </c>
      <c r="N589" s="3">
        <v>0.62</v>
      </c>
      <c r="O589" t="s">
        <v>20</v>
      </c>
    </row>
    <row r="590" spans="1:15" x14ac:dyDescent="0.35">
      <c r="A590" t="s">
        <v>624</v>
      </c>
      <c r="B590" t="s">
        <v>544</v>
      </c>
      <c r="C590" t="s">
        <v>30</v>
      </c>
      <c r="D590" t="s">
        <v>547</v>
      </c>
      <c r="E590" s="3">
        <v>16.03</v>
      </c>
      <c r="F590" s="3">
        <v>6.42</v>
      </c>
      <c r="G590" s="3">
        <v>15.12</v>
      </c>
      <c r="H590" s="4">
        <v>83.87</v>
      </c>
      <c r="I590" s="3">
        <v>85.58</v>
      </c>
      <c r="J590" t="s">
        <v>37</v>
      </c>
      <c r="K590" s="4">
        <v>2.6803599999999999</v>
      </c>
      <c r="L590" s="6" cm="1">
        <f t="array" ref="L590">_xlfn.PERCENTILE.INC(_xlfn._xlws.FILTER(tabla_base[Rendimiento_por_hectarea_ton], tabla_base[tipo_cultivo]=tabla_base[[#This Row],[tipo_cultivo]]), 0.75)</f>
        <v>5.2323700000000004</v>
      </c>
      <c r="M590" s="7" t="str">
        <f>IF(tabla_base[[#This Row],[Rendimiento_por_hectarea_ton]]&gt;tabla_base[[#This Row],[percentil_0,75]],"Sí","No")</f>
        <v>No</v>
      </c>
      <c r="N590" s="3">
        <v>0.7</v>
      </c>
      <c r="O590" t="s">
        <v>20</v>
      </c>
    </row>
    <row r="591" spans="1:15" x14ac:dyDescent="0.35">
      <c r="A591" t="s">
        <v>625</v>
      </c>
      <c r="B591" t="s">
        <v>16</v>
      </c>
      <c r="C591" t="s">
        <v>17</v>
      </c>
      <c r="D591" t="s">
        <v>35</v>
      </c>
      <c r="E591" s="3">
        <v>16.29</v>
      </c>
      <c r="F591" s="3">
        <v>6.44</v>
      </c>
      <c r="G591" s="3">
        <v>25</v>
      </c>
      <c r="H591" s="4">
        <v>155.44</v>
      </c>
      <c r="I591" s="3">
        <v>61.22</v>
      </c>
      <c r="J591" t="s">
        <v>37</v>
      </c>
      <c r="K591" s="4">
        <v>3.7581799999999999</v>
      </c>
      <c r="L591" s="6" cm="1">
        <f t="array" ref="L591">_xlfn.PERCENTILE.INC(_xlfn._xlws.FILTER(tabla_base[Rendimiento_por_hectarea_ton], tabla_base[tipo_cultivo]=tabla_base[[#This Row],[tipo_cultivo]]), 0.75)</f>
        <v>5.1318025</v>
      </c>
      <c r="M591" s="7" t="str">
        <f>IF(tabla_base[[#This Row],[Rendimiento_por_hectarea_ton]]&gt;tabla_base[[#This Row],[percentil_0,75]],"Sí","No")</f>
        <v>No</v>
      </c>
      <c r="N591" s="3">
        <v>0.64</v>
      </c>
      <c r="O591" t="s">
        <v>19</v>
      </c>
    </row>
    <row r="592" spans="1:15" x14ac:dyDescent="0.35">
      <c r="A592" t="s">
        <v>626</v>
      </c>
      <c r="B592" t="s">
        <v>16</v>
      </c>
      <c r="C592" t="s">
        <v>23</v>
      </c>
      <c r="D592" t="s">
        <v>35</v>
      </c>
      <c r="E592" s="3">
        <v>28</v>
      </c>
      <c r="F592" s="3">
        <v>6.43</v>
      </c>
      <c r="G592" s="3">
        <v>28.03</v>
      </c>
      <c r="H592" s="4">
        <v>67.540000000000006</v>
      </c>
      <c r="I592" s="3">
        <v>69.3</v>
      </c>
      <c r="J592" t="s">
        <v>28</v>
      </c>
      <c r="K592" s="4">
        <v>4.92598</v>
      </c>
      <c r="L592" s="6" cm="1">
        <f t="array" ref="L592">_xlfn.PERCENTILE.INC(_xlfn._xlws.FILTER(tabla_base[Rendimiento_por_hectarea_ton], tabla_base[tipo_cultivo]=tabla_base[[#This Row],[tipo_cultivo]]), 0.75)</f>
        <v>5.1318025</v>
      </c>
      <c r="M592" s="7" t="str">
        <f>IF(tabla_base[[#This Row],[Rendimiento_por_hectarea_ton]]&gt;tabla_base[[#This Row],[percentil_0,75]],"Sí","No")</f>
        <v>No</v>
      </c>
      <c r="N592" s="3">
        <v>0.89</v>
      </c>
      <c r="O592" t="s">
        <v>20</v>
      </c>
    </row>
    <row r="593" spans="1:15" x14ac:dyDescent="0.35">
      <c r="A593" t="s">
        <v>627</v>
      </c>
      <c r="B593" t="s">
        <v>544</v>
      </c>
      <c r="C593" t="s">
        <v>23</v>
      </c>
      <c r="D593" t="s">
        <v>547</v>
      </c>
      <c r="E593" s="3">
        <v>37.86</v>
      </c>
      <c r="F593" s="3">
        <v>6.34</v>
      </c>
      <c r="G593" s="3">
        <v>16.34</v>
      </c>
      <c r="H593" s="4">
        <v>63.57</v>
      </c>
      <c r="I593" s="3">
        <v>85.29</v>
      </c>
      <c r="J593" t="s">
        <v>25</v>
      </c>
      <c r="K593" s="4">
        <v>3.7926000000000002</v>
      </c>
      <c r="L593" s="6" cm="1">
        <f t="array" ref="L593">_xlfn.PERCENTILE.INC(_xlfn._xlws.FILTER(tabla_base[Rendimiento_por_hectarea_ton], tabla_base[tipo_cultivo]=tabla_base[[#This Row],[tipo_cultivo]]), 0.75)</f>
        <v>5.2323700000000004</v>
      </c>
      <c r="M593" s="7" t="str">
        <f>IF(tabla_base[[#This Row],[Rendimiento_por_hectarea_ton]]&gt;tabla_base[[#This Row],[percentil_0,75]],"Sí","No")</f>
        <v>No</v>
      </c>
      <c r="N593" s="3">
        <v>0.75</v>
      </c>
      <c r="O593" t="s">
        <v>26</v>
      </c>
    </row>
    <row r="594" spans="1:15" x14ac:dyDescent="0.35">
      <c r="A594" t="s">
        <v>628</v>
      </c>
      <c r="B594" t="s">
        <v>16</v>
      </c>
      <c r="C594" t="s">
        <v>23</v>
      </c>
      <c r="D594" t="s">
        <v>547</v>
      </c>
      <c r="E594" s="3">
        <v>30.99</v>
      </c>
      <c r="F594" s="3">
        <v>6.14</v>
      </c>
      <c r="G594" s="3">
        <v>27.69</v>
      </c>
      <c r="H594" s="4">
        <v>239.73</v>
      </c>
      <c r="I594" s="3">
        <v>51.63</v>
      </c>
      <c r="J594" t="s">
        <v>19</v>
      </c>
      <c r="K594" s="4">
        <v>2.5657700000000001</v>
      </c>
      <c r="L594" s="6" cm="1">
        <f t="array" ref="L594">_xlfn.PERCENTILE.INC(_xlfn._xlws.FILTER(tabla_base[Rendimiento_por_hectarea_ton], tabla_base[tipo_cultivo]=tabla_base[[#This Row],[tipo_cultivo]]), 0.75)</f>
        <v>5.2323700000000004</v>
      </c>
      <c r="M594" s="7" t="str">
        <f>IF(tabla_base[[#This Row],[Rendimiento_por_hectarea_ton]]&gt;tabla_base[[#This Row],[percentil_0,75]],"Sí","No")</f>
        <v>No</v>
      </c>
      <c r="N594" s="3">
        <v>0.84</v>
      </c>
      <c r="O594" t="s">
        <v>26</v>
      </c>
    </row>
    <row r="595" spans="1:15" x14ac:dyDescent="0.35">
      <c r="A595" t="s">
        <v>629</v>
      </c>
      <c r="B595" t="s">
        <v>16</v>
      </c>
      <c r="C595" t="s">
        <v>17</v>
      </c>
      <c r="D595" t="s">
        <v>24</v>
      </c>
      <c r="E595" s="3">
        <v>24.46</v>
      </c>
      <c r="F595" s="3">
        <v>5.68</v>
      </c>
      <c r="G595" s="3">
        <v>22.41</v>
      </c>
      <c r="H595" s="4">
        <v>95.11</v>
      </c>
      <c r="I595" s="3">
        <v>82.24</v>
      </c>
      <c r="J595" t="s">
        <v>37</v>
      </c>
      <c r="K595" s="4">
        <v>4.4523999999999999</v>
      </c>
      <c r="L595" s="6" cm="1">
        <f t="array" ref="L595">_xlfn.PERCENTILE.INC(_xlfn._xlws.FILTER(tabla_base[Rendimiento_por_hectarea_ton], tabla_base[tipo_cultivo]=tabla_base[[#This Row],[tipo_cultivo]]), 0.75)</f>
        <v>5.3984449999999997</v>
      </c>
      <c r="M595" s="7" t="str">
        <f>IF(tabla_base[[#This Row],[Rendimiento_por_hectarea_ton]]&gt;tabla_base[[#This Row],[percentil_0,75]],"Sí","No")</f>
        <v>No</v>
      </c>
      <c r="N595" s="3">
        <v>0.84</v>
      </c>
      <c r="O595" t="s">
        <v>26</v>
      </c>
    </row>
    <row r="596" spans="1:15" x14ac:dyDescent="0.35">
      <c r="A596" t="s">
        <v>630</v>
      </c>
      <c r="B596" t="s">
        <v>22</v>
      </c>
      <c r="C596" t="s">
        <v>30</v>
      </c>
      <c r="D596" t="s">
        <v>18</v>
      </c>
      <c r="E596" s="3">
        <v>26.85</v>
      </c>
      <c r="F596" s="3">
        <v>7.16</v>
      </c>
      <c r="G596" s="3">
        <v>34.97</v>
      </c>
      <c r="H596" s="4">
        <v>216.73</v>
      </c>
      <c r="I596" s="3">
        <v>89.45</v>
      </c>
      <c r="J596" t="s">
        <v>28</v>
      </c>
      <c r="K596" s="4">
        <v>6.0610499999999998</v>
      </c>
      <c r="L596" s="6" cm="1">
        <f t="array" ref="L596">_xlfn.PERCENTILE.INC(_xlfn._xlws.FILTER(tabla_base[Rendimiento_por_hectarea_ton], tabla_base[tipo_cultivo]=tabla_base[[#This Row],[tipo_cultivo]]), 0.75)</f>
        <v>5.2079399999999998</v>
      </c>
      <c r="M596" s="7" t="str">
        <f>IF(tabla_base[[#This Row],[Rendimiento_por_hectarea_ton]]&gt;tabla_base[[#This Row],[percentil_0,75]],"Sí","No")</f>
        <v>Sí</v>
      </c>
      <c r="N596" s="3">
        <v>0.7</v>
      </c>
      <c r="O596" t="s">
        <v>20</v>
      </c>
    </row>
    <row r="597" spans="1:15" x14ac:dyDescent="0.35">
      <c r="A597" t="s">
        <v>631</v>
      </c>
      <c r="B597" t="s">
        <v>22</v>
      </c>
      <c r="C597" t="s">
        <v>17</v>
      </c>
      <c r="D597" t="s">
        <v>24</v>
      </c>
      <c r="E597" s="3">
        <v>17.66</v>
      </c>
      <c r="F597" s="3">
        <v>7.22</v>
      </c>
      <c r="G597" s="3">
        <v>23.48</v>
      </c>
      <c r="H597" s="4">
        <v>186.31</v>
      </c>
      <c r="I597" s="3">
        <v>70.180000000000007</v>
      </c>
      <c r="J597" t="s">
        <v>25</v>
      </c>
      <c r="K597" s="4">
        <v>5.8295899999999996</v>
      </c>
      <c r="L597" s="6" cm="1">
        <f t="array" ref="L597">_xlfn.PERCENTILE.INC(_xlfn._xlws.FILTER(tabla_base[Rendimiento_por_hectarea_ton], tabla_base[tipo_cultivo]=tabla_base[[#This Row],[tipo_cultivo]]), 0.75)</f>
        <v>5.3984449999999997</v>
      </c>
      <c r="M597" s="7" t="str">
        <f>IF(tabla_base[[#This Row],[Rendimiento_por_hectarea_ton]]&gt;tabla_base[[#This Row],[percentil_0,75]],"Sí","No")</f>
        <v>Sí</v>
      </c>
      <c r="N597" s="3">
        <v>0.63</v>
      </c>
      <c r="O597" t="s">
        <v>20</v>
      </c>
    </row>
    <row r="598" spans="1:15" x14ac:dyDescent="0.35">
      <c r="A598" t="s">
        <v>632</v>
      </c>
      <c r="B598" t="s">
        <v>22</v>
      </c>
      <c r="C598" t="s">
        <v>23</v>
      </c>
      <c r="D598" t="s">
        <v>31</v>
      </c>
      <c r="E598" s="3">
        <v>31.68</v>
      </c>
      <c r="F598" s="3">
        <v>6.06</v>
      </c>
      <c r="G598" s="3">
        <v>26.76</v>
      </c>
      <c r="H598" s="4">
        <v>263.16000000000003</v>
      </c>
      <c r="I598" s="3">
        <v>84.16</v>
      </c>
      <c r="J598" t="s">
        <v>25</v>
      </c>
      <c r="K598" s="4">
        <v>3.00095</v>
      </c>
      <c r="L598" s="6" cm="1">
        <f t="array" ref="L598">_xlfn.PERCENTILE.INC(_xlfn._xlws.FILTER(tabla_base[Rendimiento_por_hectarea_ton], tabla_base[tipo_cultivo]=tabla_base[[#This Row],[tipo_cultivo]]), 0.75)</f>
        <v>5.1742550000000005</v>
      </c>
      <c r="M598" s="7" t="str">
        <f>IF(tabla_base[[#This Row],[Rendimiento_por_hectarea_ton]]&gt;tabla_base[[#This Row],[percentil_0,75]],"Sí","No")</f>
        <v>No</v>
      </c>
      <c r="N598" s="3">
        <v>0.88</v>
      </c>
      <c r="O598" t="s">
        <v>20</v>
      </c>
    </row>
    <row r="599" spans="1:15" x14ac:dyDescent="0.35">
      <c r="A599" t="s">
        <v>633</v>
      </c>
      <c r="B599" t="s">
        <v>544</v>
      </c>
      <c r="C599" t="s">
        <v>30</v>
      </c>
      <c r="D599" t="s">
        <v>31</v>
      </c>
      <c r="E599" s="3">
        <v>21.43</v>
      </c>
      <c r="F599" s="3">
        <v>6.73</v>
      </c>
      <c r="G599" s="3">
        <v>16.86</v>
      </c>
      <c r="H599" s="4">
        <v>150.94999999999999</v>
      </c>
      <c r="I599" s="3">
        <v>77.069999999999993</v>
      </c>
      <c r="J599" t="s">
        <v>25</v>
      </c>
      <c r="K599" s="4">
        <v>5.9368600000000002</v>
      </c>
      <c r="L599" s="6" cm="1">
        <f t="array" ref="L599">_xlfn.PERCENTILE.INC(_xlfn._xlws.FILTER(tabla_base[Rendimiento_por_hectarea_ton], tabla_base[tipo_cultivo]=tabla_base[[#This Row],[tipo_cultivo]]), 0.75)</f>
        <v>5.1742550000000005</v>
      </c>
      <c r="M599" s="7" t="str">
        <f>IF(tabla_base[[#This Row],[Rendimiento_por_hectarea_ton]]&gt;tabla_base[[#This Row],[percentil_0,75]],"Sí","No")</f>
        <v>Sí</v>
      </c>
      <c r="N599" s="3">
        <v>0.8</v>
      </c>
      <c r="O599" t="s">
        <v>26</v>
      </c>
    </row>
    <row r="600" spans="1:15" x14ac:dyDescent="0.35">
      <c r="A600" t="s">
        <v>634</v>
      </c>
      <c r="B600" t="s">
        <v>16</v>
      </c>
      <c r="C600" t="s">
        <v>23</v>
      </c>
      <c r="D600" t="s">
        <v>35</v>
      </c>
      <c r="E600" s="3">
        <v>17.29</v>
      </c>
      <c r="F600" s="3">
        <v>6.3</v>
      </c>
      <c r="G600" s="3">
        <v>33.25</v>
      </c>
      <c r="H600" s="4">
        <v>64.33</v>
      </c>
      <c r="I600" s="3">
        <v>80.400000000000006</v>
      </c>
      <c r="J600" t="s">
        <v>28</v>
      </c>
      <c r="K600" s="4">
        <v>2.8525499999999999</v>
      </c>
      <c r="L600" s="6" cm="1">
        <f t="array" ref="L600">_xlfn.PERCENTILE.INC(_xlfn._xlws.FILTER(tabla_base[Rendimiento_por_hectarea_ton], tabla_base[tipo_cultivo]=tabla_base[[#This Row],[tipo_cultivo]]), 0.75)</f>
        <v>5.1318025</v>
      </c>
      <c r="M600" s="7" t="str">
        <f>IF(tabla_base[[#This Row],[Rendimiento_por_hectarea_ton]]&gt;tabla_base[[#This Row],[percentil_0,75]],"Sí","No")</f>
        <v>No</v>
      </c>
      <c r="N600" s="3">
        <v>0.85</v>
      </c>
      <c r="O600" t="s">
        <v>26</v>
      </c>
    </row>
    <row r="601" spans="1:15" x14ac:dyDescent="0.35">
      <c r="A601" t="s">
        <v>635</v>
      </c>
      <c r="B601" t="s">
        <v>16</v>
      </c>
      <c r="C601" t="s">
        <v>17</v>
      </c>
      <c r="D601" t="s">
        <v>33</v>
      </c>
      <c r="E601" s="3">
        <v>22.28</v>
      </c>
      <c r="F601" s="3">
        <v>7.09</v>
      </c>
      <c r="G601" s="3">
        <v>30.67</v>
      </c>
      <c r="H601" s="4">
        <v>124.36</v>
      </c>
      <c r="I601" s="3">
        <v>66.61</v>
      </c>
      <c r="J601" t="s">
        <v>37</v>
      </c>
      <c r="K601" s="4">
        <v>4.5765200000000004</v>
      </c>
      <c r="L601" s="6" cm="1">
        <f t="array" ref="L601">_xlfn.PERCENTILE.INC(_xlfn._xlws.FILTER(tabla_base[Rendimiento_por_hectarea_ton], tabla_base[tipo_cultivo]=tabla_base[[#This Row],[tipo_cultivo]]), 0.75)</f>
        <v>5.1635450000000001</v>
      </c>
      <c r="M601" s="7" t="str">
        <f>IF(tabla_base[[#This Row],[Rendimiento_por_hectarea_ton]]&gt;tabla_base[[#This Row],[percentil_0,75]],"Sí","No")</f>
        <v>No</v>
      </c>
      <c r="N601" s="3">
        <v>0.82</v>
      </c>
      <c r="O601" t="s">
        <v>19</v>
      </c>
    </row>
    <row r="602" spans="1:15" x14ac:dyDescent="0.35">
      <c r="A602" t="s">
        <v>636</v>
      </c>
      <c r="B602" t="s">
        <v>544</v>
      </c>
      <c r="C602" t="s">
        <v>30</v>
      </c>
      <c r="D602" t="s">
        <v>18</v>
      </c>
      <c r="E602" s="3">
        <v>19.32</v>
      </c>
      <c r="F602" s="3">
        <v>6.14</v>
      </c>
      <c r="G602" s="3">
        <v>26.61</v>
      </c>
      <c r="H602" s="4">
        <v>217.07</v>
      </c>
      <c r="I602" s="3">
        <v>86.51</v>
      </c>
      <c r="J602" t="s">
        <v>19</v>
      </c>
      <c r="K602" s="4">
        <v>2.7847300000000001</v>
      </c>
      <c r="L602" s="6" cm="1">
        <f t="array" ref="L602">_xlfn.PERCENTILE.INC(_xlfn._xlws.FILTER(tabla_base[Rendimiento_por_hectarea_ton], tabla_base[tipo_cultivo]=tabla_base[[#This Row],[tipo_cultivo]]), 0.75)</f>
        <v>5.2079399999999998</v>
      </c>
      <c r="M602" s="7" t="str">
        <f>IF(tabla_base[[#This Row],[Rendimiento_por_hectarea_ton]]&gt;tabla_base[[#This Row],[percentil_0,75]],"Sí","No")</f>
        <v>No</v>
      </c>
      <c r="N602" s="3">
        <v>0.82</v>
      </c>
      <c r="O602" t="s">
        <v>20</v>
      </c>
    </row>
    <row r="603" spans="1:15" x14ac:dyDescent="0.35">
      <c r="A603" t="s">
        <v>637</v>
      </c>
      <c r="B603" t="s">
        <v>22</v>
      </c>
      <c r="C603" t="s">
        <v>30</v>
      </c>
      <c r="D603" t="s">
        <v>31</v>
      </c>
      <c r="E603" s="3">
        <v>24.19</v>
      </c>
      <c r="F603" s="3">
        <v>5.62</v>
      </c>
      <c r="G603" s="3">
        <v>17.13</v>
      </c>
      <c r="H603" s="4">
        <v>65.12</v>
      </c>
      <c r="I603" s="3">
        <v>50.53</v>
      </c>
      <c r="J603" t="s">
        <v>28</v>
      </c>
      <c r="K603" s="4">
        <v>4.8463700000000003</v>
      </c>
      <c r="L603" s="6" cm="1">
        <f t="array" ref="L603">_xlfn.PERCENTILE.INC(_xlfn._xlws.FILTER(tabla_base[Rendimiento_por_hectarea_ton], tabla_base[tipo_cultivo]=tabla_base[[#This Row],[tipo_cultivo]]), 0.75)</f>
        <v>5.1742550000000005</v>
      </c>
      <c r="M603" s="7" t="str">
        <f>IF(tabla_base[[#This Row],[Rendimiento_por_hectarea_ton]]&gt;tabla_base[[#This Row],[percentil_0,75]],"Sí","No")</f>
        <v>No</v>
      </c>
      <c r="N603" s="3">
        <v>0.89</v>
      </c>
      <c r="O603" t="s">
        <v>19</v>
      </c>
    </row>
    <row r="604" spans="1:15" x14ac:dyDescent="0.35">
      <c r="A604" t="s">
        <v>638</v>
      </c>
      <c r="B604" t="s">
        <v>22</v>
      </c>
      <c r="C604" t="s">
        <v>17</v>
      </c>
      <c r="D604" t="s">
        <v>35</v>
      </c>
      <c r="E604" s="3">
        <v>39.369999999999997</v>
      </c>
      <c r="F604" s="3">
        <v>6.41</v>
      </c>
      <c r="G604" s="3">
        <v>19.23</v>
      </c>
      <c r="H604" s="4">
        <v>224.26</v>
      </c>
      <c r="I604" s="3">
        <v>56.23</v>
      </c>
      <c r="J604" t="s">
        <v>28</v>
      </c>
      <c r="K604" s="4">
        <v>5.75962</v>
      </c>
      <c r="L604" s="6" cm="1">
        <f t="array" ref="L604">_xlfn.PERCENTILE.INC(_xlfn._xlws.FILTER(tabla_base[Rendimiento_por_hectarea_ton], tabla_base[tipo_cultivo]=tabla_base[[#This Row],[tipo_cultivo]]), 0.75)</f>
        <v>5.1318025</v>
      </c>
      <c r="M604" s="7" t="str">
        <f>IF(tabla_base[[#This Row],[Rendimiento_por_hectarea_ton]]&gt;tabla_base[[#This Row],[percentil_0,75]],"Sí","No")</f>
        <v>Sí</v>
      </c>
      <c r="N604" s="3">
        <v>0.57999999999999996</v>
      </c>
      <c r="O604" t="s">
        <v>26</v>
      </c>
    </row>
    <row r="605" spans="1:15" x14ac:dyDescent="0.35">
      <c r="A605" t="s">
        <v>639</v>
      </c>
      <c r="B605" t="s">
        <v>544</v>
      </c>
      <c r="C605" t="s">
        <v>17</v>
      </c>
      <c r="D605" t="s">
        <v>31</v>
      </c>
      <c r="E605" s="3">
        <v>38.799999999999997</v>
      </c>
      <c r="F605" s="3">
        <v>6.87</v>
      </c>
      <c r="G605" s="3">
        <v>29.53</v>
      </c>
      <c r="H605" s="4">
        <v>103.95</v>
      </c>
      <c r="I605" s="3">
        <v>77.16</v>
      </c>
      <c r="J605" t="s">
        <v>28</v>
      </c>
      <c r="K605" s="4">
        <v>6.2168799999999997</v>
      </c>
      <c r="L605" s="6" cm="1">
        <f t="array" ref="L605">_xlfn.PERCENTILE.INC(_xlfn._xlws.FILTER(tabla_base[Rendimiento_por_hectarea_ton], tabla_base[tipo_cultivo]=tabla_base[[#This Row],[tipo_cultivo]]), 0.75)</f>
        <v>5.1742550000000005</v>
      </c>
      <c r="M605" s="7" t="str">
        <f>IF(tabla_base[[#This Row],[Rendimiento_por_hectarea_ton]]&gt;tabla_base[[#This Row],[percentil_0,75]],"Sí","No")</f>
        <v>Sí</v>
      </c>
      <c r="N605" s="3">
        <v>0.6</v>
      </c>
      <c r="O605" t="s">
        <v>20</v>
      </c>
    </row>
    <row r="606" spans="1:15" x14ac:dyDescent="0.35">
      <c r="A606" t="s">
        <v>640</v>
      </c>
      <c r="B606" t="s">
        <v>16</v>
      </c>
      <c r="C606" t="s">
        <v>40</v>
      </c>
      <c r="D606" t="s">
        <v>33</v>
      </c>
      <c r="E606" s="3">
        <v>17.75</v>
      </c>
      <c r="F606" s="3">
        <v>7.37</v>
      </c>
      <c r="G606" s="3">
        <v>32.880000000000003</v>
      </c>
      <c r="H606" s="4">
        <v>255.66</v>
      </c>
      <c r="I606" s="3">
        <v>83.03</v>
      </c>
      <c r="J606" t="s">
        <v>37</v>
      </c>
      <c r="K606" s="4">
        <v>4.32667</v>
      </c>
      <c r="L606" s="6" cm="1">
        <f t="array" ref="L606">_xlfn.PERCENTILE.INC(_xlfn._xlws.FILTER(tabla_base[Rendimiento_por_hectarea_ton], tabla_base[tipo_cultivo]=tabla_base[[#This Row],[tipo_cultivo]]), 0.75)</f>
        <v>5.1635450000000001</v>
      </c>
      <c r="M606" s="7" t="str">
        <f>IF(tabla_base[[#This Row],[Rendimiento_por_hectarea_ton]]&gt;tabla_base[[#This Row],[percentil_0,75]],"Sí","No")</f>
        <v>No</v>
      </c>
      <c r="N606" s="3">
        <v>0.65</v>
      </c>
      <c r="O606" t="s">
        <v>26</v>
      </c>
    </row>
    <row r="607" spans="1:15" x14ac:dyDescent="0.35">
      <c r="A607" t="s">
        <v>641</v>
      </c>
      <c r="B607" t="s">
        <v>16</v>
      </c>
      <c r="C607" t="s">
        <v>17</v>
      </c>
      <c r="D607" t="s">
        <v>547</v>
      </c>
      <c r="E607" s="3">
        <v>29.21</v>
      </c>
      <c r="F607" s="3">
        <v>5.81</v>
      </c>
      <c r="G607" s="3">
        <v>28.31</v>
      </c>
      <c r="H607" s="4">
        <v>229.98</v>
      </c>
      <c r="I607" s="3">
        <v>62.4</v>
      </c>
      <c r="J607" t="s">
        <v>19</v>
      </c>
      <c r="K607" s="4">
        <v>3.7611300000000001</v>
      </c>
      <c r="L607" s="6" cm="1">
        <f t="array" ref="L607">_xlfn.PERCENTILE.INC(_xlfn._xlws.FILTER(tabla_base[Rendimiento_por_hectarea_ton], tabla_base[tipo_cultivo]=tabla_base[[#This Row],[tipo_cultivo]]), 0.75)</f>
        <v>5.2323700000000004</v>
      </c>
      <c r="M607" s="7" t="str">
        <f>IF(tabla_base[[#This Row],[Rendimiento_por_hectarea_ton]]&gt;tabla_base[[#This Row],[percentil_0,75]],"Sí","No")</f>
        <v>No</v>
      </c>
      <c r="N607" s="3">
        <v>0.83</v>
      </c>
      <c r="O607" t="s">
        <v>19</v>
      </c>
    </row>
    <row r="608" spans="1:15" x14ac:dyDescent="0.35">
      <c r="A608" t="s">
        <v>642</v>
      </c>
      <c r="B608" t="s">
        <v>16</v>
      </c>
      <c r="C608" t="s">
        <v>23</v>
      </c>
      <c r="D608" t="s">
        <v>35</v>
      </c>
      <c r="E608" s="3">
        <v>28.93</v>
      </c>
      <c r="F608" s="3">
        <v>6.37</v>
      </c>
      <c r="G608" s="3">
        <v>27.18</v>
      </c>
      <c r="H608" s="4">
        <v>131.37</v>
      </c>
      <c r="I608" s="3">
        <v>87.17</v>
      </c>
      <c r="J608" t="s">
        <v>19</v>
      </c>
      <c r="K608" s="4">
        <v>4.8393600000000001</v>
      </c>
      <c r="L608" s="6" cm="1">
        <f t="array" ref="L608">_xlfn.PERCENTILE.INC(_xlfn._xlws.FILTER(tabla_base[Rendimiento_por_hectarea_ton], tabla_base[tipo_cultivo]=tabla_base[[#This Row],[tipo_cultivo]]), 0.75)</f>
        <v>5.1318025</v>
      </c>
      <c r="M608" s="7" t="str">
        <f>IF(tabla_base[[#This Row],[Rendimiento_por_hectarea_ton]]&gt;tabla_base[[#This Row],[percentil_0,75]],"Sí","No")</f>
        <v>No</v>
      </c>
      <c r="N608" s="3">
        <v>0.76</v>
      </c>
      <c r="O608" t="s">
        <v>26</v>
      </c>
    </row>
    <row r="609" spans="1:15" x14ac:dyDescent="0.35">
      <c r="A609" t="s">
        <v>643</v>
      </c>
      <c r="B609" t="s">
        <v>16</v>
      </c>
      <c r="C609" t="s">
        <v>30</v>
      </c>
      <c r="D609" t="s">
        <v>18</v>
      </c>
      <c r="E609" s="3">
        <v>39.85</v>
      </c>
      <c r="F609" s="3">
        <v>7.3</v>
      </c>
      <c r="G609" s="3">
        <v>16.600000000000001</v>
      </c>
      <c r="H609" s="4">
        <v>239.09</v>
      </c>
      <c r="I609" s="3">
        <v>88.85</v>
      </c>
      <c r="J609" t="s">
        <v>37</v>
      </c>
      <c r="K609" s="4">
        <v>5.38375</v>
      </c>
      <c r="L609" s="6" cm="1">
        <f t="array" ref="L609">_xlfn.PERCENTILE.INC(_xlfn._xlws.FILTER(tabla_base[Rendimiento_por_hectarea_ton], tabla_base[tipo_cultivo]=tabla_base[[#This Row],[tipo_cultivo]]), 0.75)</f>
        <v>5.2079399999999998</v>
      </c>
      <c r="M609" s="7" t="str">
        <f>IF(tabla_base[[#This Row],[Rendimiento_por_hectarea_ton]]&gt;tabla_base[[#This Row],[percentil_0,75]],"Sí","No")</f>
        <v>Sí</v>
      </c>
      <c r="N609" s="3">
        <v>0.61</v>
      </c>
      <c r="O609" t="s">
        <v>19</v>
      </c>
    </row>
    <row r="610" spans="1:15" x14ac:dyDescent="0.35">
      <c r="A610" t="s">
        <v>644</v>
      </c>
      <c r="B610" t="s">
        <v>16</v>
      </c>
      <c r="C610" t="s">
        <v>23</v>
      </c>
      <c r="D610" t="s">
        <v>547</v>
      </c>
      <c r="E610" s="3">
        <v>28.23</v>
      </c>
      <c r="F610" s="3">
        <v>7.2</v>
      </c>
      <c r="G610" s="3">
        <v>15.26</v>
      </c>
      <c r="H610" s="4">
        <v>207.86</v>
      </c>
      <c r="I610" s="3">
        <v>58.56</v>
      </c>
      <c r="J610" t="s">
        <v>37</v>
      </c>
      <c r="K610" s="4">
        <v>2.9558800000000001</v>
      </c>
      <c r="L610" s="6" cm="1">
        <f t="array" ref="L610">_xlfn.PERCENTILE.INC(_xlfn._xlws.FILTER(tabla_base[Rendimiento_por_hectarea_ton], tabla_base[tipo_cultivo]=tabla_base[[#This Row],[tipo_cultivo]]), 0.75)</f>
        <v>5.2323700000000004</v>
      </c>
      <c r="M610" s="7" t="str">
        <f>IF(tabla_base[[#This Row],[Rendimiento_por_hectarea_ton]]&gt;tabla_base[[#This Row],[percentil_0,75]],"Sí","No")</f>
        <v>No</v>
      </c>
      <c r="N610" s="3">
        <v>0.68</v>
      </c>
      <c r="O610" t="s">
        <v>26</v>
      </c>
    </row>
    <row r="611" spans="1:15" x14ac:dyDescent="0.35">
      <c r="A611" t="s">
        <v>645</v>
      </c>
      <c r="B611" t="s">
        <v>16</v>
      </c>
      <c r="C611" t="s">
        <v>23</v>
      </c>
      <c r="D611" t="s">
        <v>33</v>
      </c>
      <c r="E611" s="3">
        <v>29.48</v>
      </c>
      <c r="F611" s="3">
        <v>6.83</v>
      </c>
      <c r="G611" s="3">
        <v>26.49</v>
      </c>
      <c r="H611" s="4">
        <v>198.11</v>
      </c>
      <c r="I611" s="3">
        <v>57.91</v>
      </c>
      <c r="J611" t="s">
        <v>28</v>
      </c>
      <c r="K611" s="4">
        <v>4.6961500000000003</v>
      </c>
      <c r="L611" s="6" cm="1">
        <f t="array" ref="L611">_xlfn.PERCENTILE.INC(_xlfn._xlws.FILTER(tabla_base[Rendimiento_por_hectarea_ton], tabla_base[tipo_cultivo]=tabla_base[[#This Row],[tipo_cultivo]]), 0.75)</f>
        <v>5.1635450000000001</v>
      </c>
      <c r="M611" s="7" t="str">
        <f>IF(tabla_base[[#This Row],[Rendimiento_por_hectarea_ton]]&gt;tabla_base[[#This Row],[percentil_0,75]],"Sí","No")</f>
        <v>No</v>
      </c>
      <c r="N611" s="3">
        <v>0.54</v>
      </c>
      <c r="O611" t="s">
        <v>19</v>
      </c>
    </row>
    <row r="612" spans="1:15" x14ac:dyDescent="0.35">
      <c r="A612" t="s">
        <v>646</v>
      </c>
      <c r="B612" t="s">
        <v>544</v>
      </c>
      <c r="C612" t="s">
        <v>30</v>
      </c>
      <c r="D612" t="s">
        <v>31</v>
      </c>
      <c r="E612" s="3">
        <v>20.52</v>
      </c>
      <c r="F612" s="3">
        <v>6.05</v>
      </c>
      <c r="G612" s="3">
        <v>25.81</v>
      </c>
      <c r="H612" s="4">
        <v>89.05</v>
      </c>
      <c r="I612" s="3">
        <v>76.98</v>
      </c>
      <c r="J612" t="s">
        <v>28</v>
      </c>
      <c r="K612" s="4">
        <v>4.6433400000000002</v>
      </c>
      <c r="L612" s="6" cm="1">
        <f t="array" ref="L612">_xlfn.PERCENTILE.INC(_xlfn._xlws.FILTER(tabla_base[Rendimiento_por_hectarea_ton], tabla_base[tipo_cultivo]=tabla_base[[#This Row],[tipo_cultivo]]), 0.75)</f>
        <v>5.1742550000000005</v>
      </c>
      <c r="M612" s="7" t="str">
        <f>IF(tabla_base[[#This Row],[Rendimiento_por_hectarea_ton]]&gt;tabla_base[[#This Row],[percentil_0,75]],"Sí","No")</f>
        <v>No</v>
      </c>
      <c r="N612" s="3">
        <v>0.72</v>
      </c>
      <c r="O612" t="s">
        <v>26</v>
      </c>
    </row>
    <row r="613" spans="1:15" x14ac:dyDescent="0.35">
      <c r="A613" t="s">
        <v>647</v>
      </c>
      <c r="B613" t="s">
        <v>16</v>
      </c>
      <c r="C613" t="s">
        <v>40</v>
      </c>
      <c r="D613" t="s">
        <v>24</v>
      </c>
      <c r="E613" s="3">
        <v>28.78</v>
      </c>
      <c r="F613" s="3">
        <v>5.64</v>
      </c>
      <c r="G613" s="3">
        <v>33.25</v>
      </c>
      <c r="H613" s="4">
        <v>257.7</v>
      </c>
      <c r="I613" s="3">
        <v>85.03</v>
      </c>
      <c r="J613" t="s">
        <v>37</v>
      </c>
      <c r="K613" s="4">
        <v>5.0481600000000002</v>
      </c>
      <c r="L613" s="6" cm="1">
        <f t="array" ref="L613">_xlfn.PERCENTILE.INC(_xlfn._xlws.FILTER(tabla_base[Rendimiento_por_hectarea_ton], tabla_base[tipo_cultivo]=tabla_base[[#This Row],[tipo_cultivo]]), 0.75)</f>
        <v>5.3984449999999997</v>
      </c>
      <c r="M613" s="7" t="str">
        <f>IF(tabla_base[[#This Row],[Rendimiento_por_hectarea_ton]]&gt;tabla_base[[#This Row],[percentil_0,75]],"Sí","No")</f>
        <v>No</v>
      </c>
      <c r="N613" s="3">
        <v>0.64</v>
      </c>
      <c r="O613" t="s">
        <v>19</v>
      </c>
    </row>
    <row r="614" spans="1:15" x14ac:dyDescent="0.35">
      <c r="A614" t="s">
        <v>648</v>
      </c>
      <c r="B614" t="s">
        <v>16</v>
      </c>
      <c r="C614" t="s">
        <v>40</v>
      </c>
      <c r="D614" t="s">
        <v>18</v>
      </c>
      <c r="E614" s="3">
        <v>31.7</v>
      </c>
      <c r="F614" s="3">
        <v>7.17</v>
      </c>
      <c r="G614" s="3">
        <v>24.82</v>
      </c>
      <c r="H614" s="4">
        <v>143.22</v>
      </c>
      <c r="I614" s="3">
        <v>71.150000000000006</v>
      </c>
      <c r="J614" t="s">
        <v>19</v>
      </c>
      <c r="K614" s="4">
        <v>4.5938400000000001</v>
      </c>
      <c r="L614" s="6" cm="1">
        <f t="array" ref="L614">_xlfn.PERCENTILE.INC(_xlfn._xlws.FILTER(tabla_base[Rendimiento_por_hectarea_ton], tabla_base[tipo_cultivo]=tabla_base[[#This Row],[tipo_cultivo]]), 0.75)</f>
        <v>5.2079399999999998</v>
      </c>
      <c r="M614" s="7" t="str">
        <f>IF(tabla_base[[#This Row],[Rendimiento_por_hectarea_ton]]&gt;tabla_base[[#This Row],[percentil_0,75]],"Sí","No")</f>
        <v>No</v>
      </c>
      <c r="N614" s="3">
        <v>0.51</v>
      </c>
      <c r="O614" t="s">
        <v>19</v>
      </c>
    </row>
    <row r="615" spans="1:15" x14ac:dyDescent="0.35">
      <c r="A615" t="s">
        <v>649</v>
      </c>
      <c r="B615" t="s">
        <v>22</v>
      </c>
      <c r="C615" t="s">
        <v>17</v>
      </c>
      <c r="D615" t="s">
        <v>547</v>
      </c>
      <c r="E615" s="3">
        <v>37.75</v>
      </c>
      <c r="F615" s="3">
        <v>6.98</v>
      </c>
      <c r="G615" s="3">
        <v>19.88</v>
      </c>
      <c r="H615" s="4">
        <v>209.08</v>
      </c>
      <c r="I615" s="3">
        <v>75.349999999999994</v>
      </c>
      <c r="J615" t="s">
        <v>19</v>
      </c>
      <c r="K615" s="4">
        <v>4.0992300000000004</v>
      </c>
      <c r="L615" s="6" cm="1">
        <f t="array" ref="L615">_xlfn.PERCENTILE.INC(_xlfn._xlws.FILTER(tabla_base[Rendimiento_por_hectarea_ton], tabla_base[tipo_cultivo]=tabla_base[[#This Row],[tipo_cultivo]]), 0.75)</f>
        <v>5.2323700000000004</v>
      </c>
      <c r="M615" s="7" t="str">
        <f>IF(tabla_base[[#This Row],[Rendimiento_por_hectarea_ton]]&gt;tabla_base[[#This Row],[percentil_0,75]],"Sí","No")</f>
        <v>No</v>
      </c>
      <c r="N615" s="3">
        <v>0.78</v>
      </c>
      <c r="O615" t="s">
        <v>26</v>
      </c>
    </row>
    <row r="616" spans="1:15" x14ac:dyDescent="0.35">
      <c r="A616" t="s">
        <v>650</v>
      </c>
      <c r="B616" t="s">
        <v>16</v>
      </c>
      <c r="C616" t="s">
        <v>40</v>
      </c>
      <c r="D616" t="s">
        <v>31</v>
      </c>
      <c r="E616" s="3">
        <v>23.48</v>
      </c>
      <c r="F616" s="3">
        <v>6.56</v>
      </c>
      <c r="G616" s="3">
        <v>18.190000000000001</v>
      </c>
      <c r="H616" s="4">
        <v>174.26</v>
      </c>
      <c r="I616" s="3">
        <v>55.78</v>
      </c>
      <c r="J616" t="s">
        <v>25</v>
      </c>
      <c r="K616" s="4">
        <v>5.2689700000000004</v>
      </c>
      <c r="L616" s="6" cm="1">
        <f t="array" ref="L616">_xlfn.PERCENTILE.INC(_xlfn._xlws.FILTER(tabla_base[Rendimiento_por_hectarea_ton], tabla_base[tipo_cultivo]=tabla_base[[#This Row],[tipo_cultivo]]), 0.75)</f>
        <v>5.1742550000000005</v>
      </c>
      <c r="M616" s="7" t="str">
        <f>IF(tabla_base[[#This Row],[Rendimiento_por_hectarea_ton]]&gt;tabla_base[[#This Row],[percentil_0,75]],"Sí","No")</f>
        <v>Sí</v>
      </c>
      <c r="N616" s="3">
        <v>0.52</v>
      </c>
      <c r="O616" t="s">
        <v>26</v>
      </c>
    </row>
    <row r="617" spans="1:15" x14ac:dyDescent="0.35">
      <c r="A617" t="s">
        <v>651</v>
      </c>
      <c r="B617" t="s">
        <v>22</v>
      </c>
      <c r="C617" t="s">
        <v>17</v>
      </c>
      <c r="D617" t="s">
        <v>31</v>
      </c>
      <c r="E617" s="3">
        <v>32.43</v>
      </c>
      <c r="F617" s="3">
        <v>6.09</v>
      </c>
      <c r="G617" s="3">
        <v>16.079999999999998</v>
      </c>
      <c r="H617" s="4">
        <v>172.83</v>
      </c>
      <c r="I617" s="3">
        <v>70.489999999999995</v>
      </c>
      <c r="J617" t="s">
        <v>37</v>
      </c>
      <c r="K617" s="4">
        <v>4.8922800000000004</v>
      </c>
      <c r="L617" s="6" cm="1">
        <f t="array" ref="L617">_xlfn.PERCENTILE.INC(_xlfn._xlws.FILTER(tabla_base[Rendimiento_por_hectarea_ton], tabla_base[tipo_cultivo]=tabla_base[[#This Row],[tipo_cultivo]]), 0.75)</f>
        <v>5.1742550000000005</v>
      </c>
      <c r="M617" s="7" t="str">
        <f>IF(tabla_base[[#This Row],[Rendimiento_por_hectarea_ton]]&gt;tabla_base[[#This Row],[percentil_0,75]],"Sí","No")</f>
        <v>No</v>
      </c>
      <c r="N617" s="3">
        <v>0.87</v>
      </c>
      <c r="O617" t="s">
        <v>26</v>
      </c>
    </row>
    <row r="618" spans="1:15" x14ac:dyDescent="0.35">
      <c r="A618" t="s">
        <v>652</v>
      </c>
      <c r="B618" t="s">
        <v>16</v>
      </c>
      <c r="C618" t="s">
        <v>30</v>
      </c>
      <c r="D618" t="s">
        <v>35</v>
      </c>
      <c r="E618" s="3">
        <v>18.440000000000001</v>
      </c>
      <c r="F618" s="3">
        <v>6.61</v>
      </c>
      <c r="G618" s="3">
        <v>34.33</v>
      </c>
      <c r="H618" s="4">
        <v>105.7</v>
      </c>
      <c r="I618" s="3">
        <v>74.39</v>
      </c>
      <c r="J618" t="s">
        <v>19</v>
      </c>
      <c r="K618" s="4">
        <v>2.9449200000000002</v>
      </c>
      <c r="L618" s="6" cm="1">
        <f t="array" ref="L618">_xlfn.PERCENTILE.INC(_xlfn._xlws.FILTER(tabla_base[Rendimiento_por_hectarea_ton], tabla_base[tipo_cultivo]=tabla_base[[#This Row],[tipo_cultivo]]), 0.75)</f>
        <v>5.1318025</v>
      </c>
      <c r="M618" s="7" t="str">
        <f>IF(tabla_base[[#This Row],[Rendimiento_por_hectarea_ton]]&gt;tabla_base[[#This Row],[percentil_0,75]],"Sí","No")</f>
        <v>No</v>
      </c>
      <c r="N618" s="3">
        <v>0.66</v>
      </c>
      <c r="O618" t="s">
        <v>20</v>
      </c>
    </row>
    <row r="619" spans="1:15" x14ac:dyDescent="0.35">
      <c r="A619" t="s">
        <v>653</v>
      </c>
      <c r="B619" t="s">
        <v>16</v>
      </c>
      <c r="C619" t="s">
        <v>17</v>
      </c>
      <c r="D619" t="s">
        <v>18</v>
      </c>
      <c r="E619" s="3">
        <v>19.86</v>
      </c>
      <c r="F619" s="3">
        <v>5.55</v>
      </c>
      <c r="G619" s="3">
        <v>18.53</v>
      </c>
      <c r="H619" s="4">
        <v>267.89</v>
      </c>
      <c r="I619" s="3">
        <v>77.459999999999994</v>
      </c>
      <c r="J619" t="s">
        <v>19</v>
      </c>
      <c r="K619" s="4">
        <v>4.87364</v>
      </c>
      <c r="L619" s="6" cm="1">
        <f t="array" ref="L619">_xlfn.PERCENTILE.INC(_xlfn._xlws.FILTER(tabla_base[Rendimiento_por_hectarea_ton], tabla_base[tipo_cultivo]=tabla_base[[#This Row],[tipo_cultivo]]), 0.75)</f>
        <v>5.2079399999999998</v>
      </c>
      <c r="M619" s="7" t="str">
        <f>IF(tabla_base[[#This Row],[Rendimiento_por_hectarea_ton]]&gt;tabla_base[[#This Row],[percentil_0,75]],"Sí","No")</f>
        <v>No</v>
      </c>
      <c r="N619" s="3">
        <v>0.89</v>
      </c>
      <c r="O619" t="s">
        <v>26</v>
      </c>
    </row>
    <row r="620" spans="1:15" x14ac:dyDescent="0.35">
      <c r="A620" t="s">
        <v>654</v>
      </c>
      <c r="B620" t="s">
        <v>16</v>
      </c>
      <c r="C620" t="s">
        <v>17</v>
      </c>
      <c r="D620" t="s">
        <v>33</v>
      </c>
      <c r="E620" s="3">
        <v>31.08</v>
      </c>
      <c r="F620" s="3">
        <v>6</v>
      </c>
      <c r="G620" s="3">
        <v>30.91</v>
      </c>
      <c r="H620" s="4">
        <v>252.21</v>
      </c>
      <c r="I620" s="3">
        <v>64.73</v>
      </c>
      <c r="J620" t="s">
        <v>28</v>
      </c>
      <c r="K620" s="4">
        <v>6.0747900000000001</v>
      </c>
      <c r="L620" s="6" cm="1">
        <f t="array" ref="L620">_xlfn.PERCENTILE.INC(_xlfn._xlws.FILTER(tabla_base[Rendimiento_por_hectarea_ton], tabla_base[tipo_cultivo]=tabla_base[[#This Row],[tipo_cultivo]]), 0.75)</f>
        <v>5.1635450000000001</v>
      </c>
      <c r="M620" s="7" t="str">
        <f>IF(tabla_base[[#This Row],[Rendimiento_por_hectarea_ton]]&gt;tabla_base[[#This Row],[percentil_0,75]],"Sí","No")</f>
        <v>Sí</v>
      </c>
      <c r="N620" s="3">
        <v>0.7</v>
      </c>
      <c r="O620" t="s">
        <v>26</v>
      </c>
    </row>
    <row r="621" spans="1:15" x14ac:dyDescent="0.35">
      <c r="A621" t="s">
        <v>655</v>
      </c>
      <c r="B621" t="s">
        <v>22</v>
      </c>
      <c r="C621" t="s">
        <v>23</v>
      </c>
      <c r="D621" t="s">
        <v>18</v>
      </c>
      <c r="E621" s="3">
        <v>19.5</v>
      </c>
      <c r="F621" s="3">
        <v>6.71</v>
      </c>
      <c r="G621" s="3">
        <v>15.27</v>
      </c>
      <c r="H621" s="4">
        <v>148.83000000000001</v>
      </c>
      <c r="I621" s="3">
        <v>51.19</v>
      </c>
      <c r="J621" t="s">
        <v>28</v>
      </c>
      <c r="K621" s="4">
        <v>4.5259499999999999</v>
      </c>
      <c r="L621" s="6" cm="1">
        <f t="array" ref="L621">_xlfn.PERCENTILE.INC(_xlfn._xlws.FILTER(tabla_base[Rendimiento_por_hectarea_ton], tabla_base[tipo_cultivo]=tabla_base[[#This Row],[tipo_cultivo]]), 0.75)</f>
        <v>5.2079399999999998</v>
      </c>
      <c r="M621" s="7" t="str">
        <f>IF(tabla_base[[#This Row],[Rendimiento_por_hectarea_ton]]&gt;tabla_base[[#This Row],[percentil_0,75]],"Sí","No")</f>
        <v>No</v>
      </c>
      <c r="N621" s="3">
        <v>0.8</v>
      </c>
      <c r="O621" t="s">
        <v>19</v>
      </c>
    </row>
    <row r="622" spans="1:15" x14ac:dyDescent="0.35">
      <c r="A622" t="s">
        <v>656</v>
      </c>
      <c r="B622" t="s">
        <v>16</v>
      </c>
      <c r="C622" t="s">
        <v>17</v>
      </c>
      <c r="D622" t="s">
        <v>33</v>
      </c>
      <c r="E622" s="3">
        <v>29.06</v>
      </c>
      <c r="F622" s="3">
        <v>6.43</v>
      </c>
      <c r="G622" s="3">
        <v>33.24</v>
      </c>
      <c r="H622" s="4">
        <v>79.64</v>
      </c>
      <c r="I622" s="3">
        <v>52.72</v>
      </c>
      <c r="J622" t="s">
        <v>28</v>
      </c>
      <c r="K622" s="4">
        <v>3.8842300000000001</v>
      </c>
      <c r="L622" s="6" cm="1">
        <f t="array" ref="L622">_xlfn.PERCENTILE.INC(_xlfn._xlws.FILTER(tabla_base[Rendimiento_por_hectarea_ton], tabla_base[tipo_cultivo]=tabla_base[[#This Row],[tipo_cultivo]]), 0.75)</f>
        <v>5.1635450000000001</v>
      </c>
      <c r="M622" s="7" t="str">
        <f>IF(tabla_base[[#This Row],[Rendimiento_por_hectarea_ton]]&gt;tabla_base[[#This Row],[percentil_0,75]],"Sí","No")</f>
        <v>No</v>
      </c>
      <c r="N622" s="3">
        <v>0.68</v>
      </c>
      <c r="O622" t="s">
        <v>19</v>
      </c>
    </row>
    <row r="623" spans="1:15" x14ac:dyDescent="0.35">
      <c r="A623" t="s">
        <v>657</v>
      </c>
      <c r="B623" t="s">
        <v>16</v>
      </c>
      <c r="C623" t="s">
        <v>17</v>
      </c>
      <c r="D623" t="s">
        <v>547</v>
      </c>
      <c r="E623" s="3">
        <v>19.739999999999998</v>
      </c>
      <c r="F623" s="3">
        <v>6.13</v>
      </c>
      <c r="G623" s="3">
        <v>28.08</v>
      </c>
      <c r="H623" s="4">
        <v>232.44</v>
      </c>
      <c r="I623" s="3">
        <v>63.7</v>
      </c>
      <c r="J623" t="s">
        <v>19</v>
      </c>
      <c r="K623" s="4">
        <v>6.2029899999999998</v>
      </c>
      <c r="L623" s="6" cm="1">
        <f t="array" ref="L623">_xlfn.PERCENTILE.INC(_xlfn._xlws.FILTER(tabla_base[Rendimiento_por_hectarea_ton], tabla_base[tipo_cultivo]=tabla_base[[#This Row],[tipo_cultivo]]), 0.75)</f>
        <v>5.2323700000000004</v>
      </c>
      <c r="M623" s="7" t="str">
        <f>IF(tabla_base[[#This Row],[Rendimiento_por_hectarea_ton]]&gt;tabla_base[[#This Row],[percentil_0,75]],"Sí","No")</f>
        <v>Sí</v>
      </c>
      <c r="N623" s="3">
        <v>0.51</v>
      </c>
      <c r="O623" t="s">
        <v>26</v>
      </c>
    </row>
    <row r="624" spans="1:15" x14ac:dyDescent="0.35">
      <c r="A624" t="s">
        <v>658</v>
      </c>
      <c r="B624" t="s">
        <v>22</v>
      </c>
      <c r="C624" t="s">
        <v>23</v>
      </c>
      <c r="D624" t="s">
        <v>33</v>
      </c>
      <c r="E624" s="3">
        <v>26.69</v>
      </c>
      <c r="F624" s="3">
        <v>6.47</v>
      </c>
      <c r="G624" s="3">
        <v>25.63</v>
      </c>
      <c r="H624" s="4">
        <v>118.63</v>
      </c>
      <c r="I624" s="3">
        <v>64.77</v>
      </c>
      <c r="J624" t="s">
        <v>19</v>
      </c>
      <c r="K624" s="4">
        <v>3.8258899999999998</v>
      </c>
      <c r="L624" s="6" cm="1">
        <f t="array" ref="L624">_xlfn.PERCENTILE.INC(_xlfn._xlws.FILTER(tabla_base[Rendimiento_por_hectarea_ton], tabla_base[tipo_cultivo]=tabla_base[[#This Row],[tipo_cultivo]]), 0.75)</f>
        <v>5.1635450000000001</v>
      </c>
      <c r="M624" s="7" t="str">
        <f>IF(tabla_base[[#This Row],[Rendimiento_por_hectarea_ton]]&gt;tabla_base[[#This Row],[percentil_0,75]],"Sí","No")</f>
        <v>No</v>
      </c>
      <c r="N624" s="3">
        <v>0.8</v>
      </c>
      <c r="O624" t="s">
        <v>26</v>
      </c>
    </row>
    <row r="625" spans="1:15" x14ac:dyDescent="0.35">
      <c r="A625" t="s">
        <v>659</v>
      </c>
      <c r="B625" t="s">
        <v>22</v>
      </c>
      <c r="C625" t="s">
        <v>30</v>
      </c>
      <c r="D625" t="s">
        <v>24</v>
      </c>
      <c r="E625" s="3">
        <v>22.14</v>
      </c>
      <c r="F625" s="3">
        <v>5.56</v>
      </c>
      <c r="G625" s="3">
        <v>26.41</v>
      </c>
      <c r="H625" s="4">
        <v>57.52</v>
      </c>
      <c r="I625" s="3">
        <v>56</v>
      </c>
      <c r="J625" t="s">
        <v>25</v>
      </c>
      <c r="K625" s="4">
        <v>3.0603500000000001</v>
      </c>
      <c r="L625" s="6" cm="1">
        <f t="array" ref="L625">_xlfn.PERCENTILE.INC(_xlfn._xlws.FILTER(tabla_base[Rendimiento_por_hectarea_ton], tabla_base[tipo_cultivo]=tabla_base[[#This Row],[tipo_cultivo]]), 0.75)</f>
        <v>5.3984449999999997</v>
      </c>
      <c r="M625" s="7" t="str">
        <f>IF(tabla_base[[#This Row],[Rendimiento_por_hectarea_ton]]&gt;tabla_base[[#This Row],[percentil_0,75]],"Sí","No")</f>
        <v>No</v>
      </c>
      <c r="N625" s="3">
        <v>0.51</v>
      </c>
      <c r="O625" t="s">
        <v>26</v>
      </c>
    </row>
    <row r="626" spans="1:15" x14ac:dyDescent="0.35">
      <c r="A626" t="s">
        <v>660</v>
      </c>
      <c r="B626" t="s">
        <v>16</v>
      </c>
      <c r="C626" t="s">
        <v>40</v>
      </c>
      <c r="D626" t="s">
        <v>35</v>
      </c>
      <c r="E626" s="3">
        <v>26.27</v>
      </c>
      <c r="F626" s="3">
        <v>7.26</v>
      </c>
      <c r="G626" s="3">
        <v>27.32</v>
      </c>
      <c r="H626" s="4">
        <v>179.01</v>
      </c>
      <c r="I626" s="3">
        <v>83.12</v>
      </c>
      <c r="J626" t="s">
        <v>25</v>
      </c>
      <c r="K626" s="4">
        <v>4.4204100000000004</v>
      </c>
      <c r="L626" s="6" cm="1">
        <f t="array" ref="L626">_xlfn.PERCENTILE.INC(_xlfn._xlws.FILTER(tabla_base[Rendimiento_por_hectarea_ton], tabla_base[tipo_cultivo]=tabla_base[[#This Row],[tipo_cultivo]]), 0.75)</f>
        <v>5.1318025</v>
      </c>
      <c r="M626" s="7" t="str">
        <f>IF(tabla_base[[#This Row],[Rendimiento_por_hectarea_ton]]&gt;tabla_base[[#This Row],[percentil_0,75]],"Sí","No")</f>
        <v>No</v>
      </c>
      <c r="N626" s="3">
        <v>0.75</v>
      </c>
      <c r="O626" t="s">
        <v>19</v>
      </c>
    </row>
    <row r="627" spans="1:15" x14ac:dyDescent="0.35">
      <c r="A627" t="s">
        <v>661</v>
      </c>
      <c r="B627" t="s">
        <v>22</v>
      </c>
      <c r="C627" t="s">
        <v>30</v>
      </c>
      <c r="D627" t="s">
        <v>35</v>
      </c>
      <c r="E627" s="3">
        <v>33.92</v>
      </c>
      <c r="F627" s="3">
        <v>6.85</v>
      </c>
      <c r="G627" s="3">
        <v>17.71</v>
      </c>
      <c r="H627" s="4">
        <v>233.62</v>
      </c>
      <c r="I627" s="3">
        <v>53.14</v>
      </c>
      <c r="J627" t="s">
        <v>19</v>
      </c>
      <c r="K627" s="4">
        <v>3.5529199999999999</v>
      </c>
      <c r="L627" s="6" cm="1">
        <f t="array" ref="L627">_xlfn.PERCENTILE.INC(_xlfn._xlws.FILTER(tabla_base[Rendimiento_por_hectarea_ton], tabla_base[tipo_cultivo]=tabla_base[[#This Row],[tipo_cultivo]]), 0.75)</f>
        <v>5.1318025</v>
      </c>
      <c r="M627" s="7" t="str">
        <f>IF(tabla_base[[#This Row],[Rendimiento_por_hectarea_ton]]&gt;tabla_base[[#This Row],[percentil_0,75]],"Sí","No")</f>
        <v>No</v>
      </c>
      <c r="N627" s="3">
        <v>0.76</v>
      </c>
      <c r="O627" t="s">
        <v>26</v>
      </c>
    </row>
    <row r="628" spans="1:15" x14ac:dyDescent="0.35">
      <c r="A628" t="s">
        <v>662</v>
      </c>
      <c r="B628" t="s">
        <v>16</v>
      </c>
      <c r="C628" t="s">
        <v>23</v>
      </c>
      <c r="D628" t="s">
        <v>33</v>
      </c>
      <c r="E628" s="3">
        <v>36.83</v>
      </c>
      <c r="F628" s="3">
        <v>5.99</v>
      </c>
      <c r="G628" s="3">
        <v>32.14</v>
      </c>
      <c r="H628" s="4">
        <v>203.58</v>
      </c>
      <c r="I628" s="3">
        <v>66.83</v>
      </c>
      <c r="J628" t="s">
        <v>37</v>
      </c>
      <c r="K628" s="4">
        <v>5.8968699999999998</v>
      </c>
      <c r="L628" s="6" cm="1">
        <f t="array" ref="L628">_xlfn.PERCENTILE.INC(_xlfn._xlws.FILTER(tabla_base[Rendimiento_por_hectarea_ton], tabla_base[tipo_cultivo]=tabla_base[[#This Row],[tipo_cultivo]]), 0.75)</f>
        <v>5.1635450000000001</v>
      </c>
      <c r="M628" s="7" t="str">
        <f>IF(tabla_base[[#This Row],[Rendimiento_por_hectarea_ton]]&gt;tabla_base[[#This Row],[percentil_0,75]],"Sí","No")</f>
        <v>Sí</v>
      </c>
      <c r="N628" s="3">
        <v>0.6</v>
      </c>
      <c r="O628" t="s">
        <v>26</v>
      </c>
    </row>
    <row r="629" spans="1:15" x14ac:dyDescent="0.35">
      <c r="A629" t="s">
        <v>663</v>
      </c>
      <c r="B629" t="s">
        <v>16</v>
      </c>
      <c r="C629" t="s">
        <v>40</v>
      </c>
      <c r="D629" t="s">
        <v>18</v>
      </c>
      <c r="E629" s="3">
        <v>18.899999999999999</v>
      </c>
      <c r="F629" s="3">
        <v>6.66</v>
      </c>
      <c r="G629" s="3">
        <v>19.14</v>
      </c>
      <c r="H629" s="4">
        <v>158.41999999999999</v>
      </c>
      <c r="I629" s="3">
        <v>62.15</v>
      </c>
      <c r="J629" t="s">
        <v>19</v>
      </c>
      <c r="K629" s="4">
        <v>5.4786799999999998</v>
      </c>
      <c r="L629" s="6" cm="1">
        <f t="array" ref="L629">_xlfn.PERCENTILE.INC(_xlfn._xlws.FILTER(tabla_base[Rendimiento_por_hectarea_ton], tabla_base[tipo_cultivo]=tabla_base[[#This Row],[tipo_cultivo]]), 0.75)</f>
        <v>5.2079399999999998</v>
      </c>
      <c r="M629" s="7" t="str">
        <f>IF(tabla_base[[#This Row],[Rendimiento_por_hectarea_ton]]&gt;tabla_base[[#This Row],[percentil_0,75]],"Sí","No")</f>
        <v>Sí</v>
      </c>
      <c r="N629" s="3">
        <v>0.56000000000000005</v>
      </c>
      <c r="O629" t="s">
        <v>26</v>
      </c>
    </row>
    <row r="630" spans="1:15" x14ac:dyDescent="0.35">
      <c r="A630" t="s">
        <v>664</v>
      </c>
      <c r="B630" t="s">
        <v>22</v>
      </c>
      <c r="C630" t="s">
        <v>30</v>
      </c>
      <c r="D630" t="s">
        <v>33</v>
      </c>
      <c r="E630" s="3">
        <v>26.96</v>
      </c>
      <c r="F630" s="3">
        <v>6.22</v>
      </c>
      <c r="G630" s="3">
        <v>28.38</v>
      </c>
      <c r="H630" s="4">
        <v>56.55</v>
      </c>
      <c r="I630" s="3">
        <v>71.010000000000005</v>
      </c>
      <c r="J630" t="s">
        <v>19</v>
      </c>
      <c r="K630" s="4">
        <v>4.3630100000000001</v>
      </c>
      <c r="L630" s="6" cm="1">
        <f t="array" ref="L630">_xlfn.PERCENTILE.INC(_xlfn._xlws.FILTER(tabla_base[Rendimiento_por_hectarea_ton], tabla_base[tipo_cultivo]=tabla_base[[#This Row],[tipo_cultivo]]), 0.75)</f>
        <v>5.1635450000000001</v>
      </c>
      <c r="M630" s="7" t="str">
        <f>IF(tabla_base[[#This Row],[Rendimiento_por_hectarea_ton]]&gt;tabla_base[[#This Row],[percentil_0,75]],"Sí","No")</f>
        <v>No</v>
      </c>
      <c r="N630" s="3">
        <v>0.51</v>
      </c>
      <c r="O630" t="s">
        <v>20</v>
      </c>
    </row>
    <row r="631" spans="1:15" x14ac:dyDescent="0.35">
      <c r="A631" t="s">
        <v>665</v>
      </c>
      <c r="B631" t="s">
        <v>22</v>
      </c>
      <c r="C631" t="s">
        <v>30</v>
      </c>
      <c r="D631" t="s">
        <v>33</v>
      </c>
      <c r="E631" s="3">
        <v>26.3</v>
      </c>
      <c r="F631" s="3">
        <v>7.26</v>
      </c>
      <c r="G631" s="3">
        <v>19.78</v>
      </c>
      <c r="H631" s="4">
        <v>113.39</v>
      </c>
      <c r="I631" s="3">
        <v>58.03</v>
      </c>
      <c r="J631" t="s">
        <v>37</v>
      </c>
      <c r="K631" s="4">
        <v>4.8018799999999997</v>
      </c>
      <c r="L631" s="6" cm="1">
        <f t="array" ref="L631">_xlfn.PERCENTILE.INC(_xlfn._xlws.FILTER(tabla_base[Rendimiento_por_hectarea_ton], tabla_base[tipo_cultivo]=tabla_base[[#This Row],[tipo_cultivo]]), 0.75)</f>
        <v>5.1635450000000001</v>
      </c>
      <c r="M631" s="7" t="str">
        <f>IF(tabla_base[[#This Row],[Rendimiento_por_hectarea_ton]]&gt;tabla_base[[#This Row],[percentil_0,75]],"Sí","No")</f>
        <v>No</v>
      </c>
      <c r="N631" s="3">
        <v>0.74</v>
      </c>
      <c r="O631" t="s">
        <v>19</v>
      </c>
    </row>
    <row r="632" spans="1:15" x14ac:dyDescent="0.35">
      <c r="A632" t="s">
        <v>666</v>
      </c>
      <c r="B632" t="s">
        <v>16</v>
      </c>
      <c r="C632" t="s">
        <v>23</v>
      </c>
      <c r="D632" t="s">
        <v>24</v>
      </c>
      <c r="E632" s="3">
        <v>34.24</v>
      </c>
      <c r="F632" s="3">
        <v>5.8</v>
      </c>
      <c r="G632" s="3">
        <v>22.19</v>
      </c>
      <c r="H632" s="4">
        <v>92.81</v>
      </c>
      <c r="I632" s="3">
        <v>84.11</v>
      </c>
      <c r="J632" t="s">
        <v>19</v>
      </c>
      <c r="K632" s="4">
        <v>2.56046</v>
      </c>
      <c r="L632" s="6" cm="1">
        <f t="array" ref="L632">_xlfn.PERCENTILE.INC(_xlfn._xlws.FILTER(tabla_base[Rendimiento_por_hectarea_ton], tabla_base[tipo_cultivo]=tabla_base[[#This Row],[tipo_cultivo]]), 0.75)</f>
        <v>5.3984449999999997</v>
      </c>
      <c r="M632" s="7" t="str">
        <f>IF(tabla_base[[#This Row],[Rendimiento_por_hectarea_ton]]&gt;tabla_base[[#This Row],[percentil_0,75]],"Sí","No")</f>
        <v>No</v>
      </c>
      <c r="N632" s="3">
        <v>0.88</v>
      </c>
      <c r="O632" t="s">
        <v>26</v>
      </c>
    </row>
    <row r="633" spans="1:15" x14ac:dyDescent="0.35">
      <c r="A633" t="s">
        <v>667</v>
      </c>
      <c r="B633" t="s">
        <v>22</v>
      </c>
      <c r="C633" t="s">
        <v>23</v>
      </c>
      <c r="D633" t="s">
        <v>18</v>
      </c>
      <c r="E633" s="3">
        <v>32.06</v>
      </c>
      <c r="F633" s="3">
        <v>7.15</v>
      </c>
      <c r="G633" s="3">
        <v>29.92</v>
      </c>
      <c r="H633" s="4">
        <v>154.24</v>
      </c>
      <c r="I633" s="3">
        <v>87.47</v>
      </c>
      <c r="J633" t="s">
        <v>25</v>
      </c>
      <c r="K633" s="4">
        <v>3.8897200000000001</v>
      </c>
      <c r="L633" s="6" cm="1">
        <f t="array" ref="L633">_xlfn.PERCENTILE.INC(_xlfn._xlws.FILTER(tabla_base[Rendimiento_por_hectarea_ton], tabla_base[tipo_cultivo]=tabla_base[[#This Row],[tipo_cultivo]]), 0.75)</f>
        <v>5.2079399999999998</v>
      </c>
      <c r="M633" s="7" t="str">
        <f>IF(tabla_base[[#This Row],[Rendimiento_por_hectarea_ton]]&gt;tabla_base[[#This Row],[percentil_0,75]],"Sí","No")</f>
        <v>No</v>
      </c>
      <c r="N633" s="3">
        <v>0.57999999999999996</v>
      </c>
      <c r="O633" t="s">
        <v>26</v>
      </c>
    </row>
    <row r="634" spans="1:15" x14ac:dyDescent="0.35">
      <c r="A634" t="s">
        <v>668</v>
      </c>
      <c r="B634" t="s">
        <v>16</v>
      </c>
      <c r="C634" t="s">
        <v>17</v>
      </c>
      <c r="D634" t="s">
        <v>547</v>
      </c>
      <c r="E634" s="3">
        <v>31.54</v>
      </c>
      <c r="F634" s="3">
        <v>7.44</v>
      </c>
      <c r="G634" s="3">
        <v>26.64</v>
      </c>
      <c r="H634" s="4">
        <v>145.87</v>
      </c>
      <c r="I634" s="3">
        <v>68.73</v>
      </c>
      <c r="J634" t="s">
        <v>25</v>
      </c>
      <c r="K634" s="4">
        <v>5.9043799999999997</v>
      </c>
      <c r="L634" s="6" cm="1">
        <f t="array" ref="L634">_xlfn.PERCENTILE.INC(_xlfn._xlws.FILTER(tabla_base[Rendimiento_por_hectarea_ton], tabla_base[tipo_cultivo]=tabla_base[[#This Row],[tipo_cultivo]]), 0.75)</f>
        <v>5.2323700000000004</v>
      </c>
      <c r="M634" s="7" t="str">
        <f>IF(tabla_base[[#This Row],[Rendimiento_por_hectarea_ton]]&gt;tabla_base[[#This Row],[percentil_0,75]],"Sí","No")</f>
        <v>Sí</v>
      </c>
      <c r="N634" s="3">
        <v>0.64</v>
      </c>
      <c r="O634" t="s">
        <v>19</v>
      </c>
    </row>
    <row r="635" spans="1:15" x14ac:dyDescent="0.35">
      <c r="A635" t="s">
        <v>669</v>
      </c>
      <c r="B635" t="s">
        <v>22</v>
      </c>
      <c r="C635" t="s">
        <v>17</v>
      </c>
      <c r="D635" t="s">
        <v>24</v>
      </c>
      <c r="E635" s="3">
        <v>18.22</v>
      </c>
      <c r="F635" s="3">
        <v>6.14</v>
      </c>
      <c r="G635" s="3">
        <v>27.52</v>
      </c>
      <c r="H635" s="4">
        <v>99.35</v>
      </c>
      <c r="I635" s="3">
        <v>65.13</v>
      </c>
      <c r="J635" t="s">
        <v>19</v>
      </c>
      <c r="K635" s="4">
        <v>2.7213099999999999</v>
      </c>
      <c r="L635" s="6" cm="1">
        <f t="array" ref="L635">_xlfn.PERCENTILE.INC(_xlfn._xlws.FILTER(tabla_base[Rendimiento_por_hectarea_ton], tabla_base[tipo_cultivo]=tabla_base[[#This Row],[tipo_cultivo]]), 0.75)</f>
        <v>5.3984449999999997</v>
      </c>
      <c r="M635" s="7" t="str">
        <f>IF(tabla_base[[#This Row],[Rendimiento_por_hectarea_ton]]&gt;tabla_base[[#This Row],[percentil_0,75]],"Sí","No")</f>
        <v>No</v>
      </c>
      <c r="N635" s="3">
        <v>0.56000000000000005</v>
      </c>
      <c r="O635" t="s">
        <v>20</v>
      </c>
    </row>
    <row r="636" spans="1:15" x14ac:dyDescent="0.35">
      <c r="A636" t="s">
        <v>670</v>
      </c>
      <c r="B636" t="s">
        <v>16</v>
      </c>
      <c r="C636" t="s">
        <v>23</v>
      </c>
      <c r="D636" t="s">
        <v>24</v>
      </c>
      <c r="E636" s="3">
        <v>15.41</v>
      </c>
      <c r="F636" s="3">
        <v>5.77</v>
      </c>
      <c r="G636" s="3">
        <v>15.34</v>
      </c>
      <c r="H636" s="4">
        <v>230.13</v>
      </c>
      <c r="I636" s="3">
        <v>84.07</v>
      </c>
      <c r="J636" t="s">
        <v>37</v>
      </c>
      <c r="K636" s="4">
        <v>3.0877599999999998</v>
      </c>
      <c r="L636" s="6" cm="1">
        <f t="array" ref="L636">_xlfn.PERCENTILE.INC(_xlfn._xlws.FILTER(tabla_base[Rendimiento_por_hectarea_ton], tabla_base[tipo_cultivo]=tabla_base[[#This Row],[tipo_cultivo]]), 0.75)</f>
        <v>5.3984449999999997</v>
      </c>
      <c r="M636" s="7" t="str">
        <f>IF(tabla_base[[#This Row],[Rendimiento_por_hectarea_ton]]&gt;tabla_base[[#This Row],[percentil_0,75]],"Sí","No")</f>
        <v>No</v>
      </c>
      <c r="N636" s="3">
        <v>0.85</v>
      </c>
      <c r="O636" t="s">
        <v>20</v>
      </c>
    </row>
    <row r="637" spans="1:15" x14ac:dyDescent="0.35">
      <c r="A637" t="s">
        <v>671</v>
      </c>
      <c r="B637" t="s">
        <v>22</v>
      </c>
      <c r="C637" t="s">
        <v>30</v>
      </c>
      <c r="D637" t="s">
        <v>547</v>
      </c>
      <c r="E637" s="3">
        <v>24.91</v>
      </c>
      <c r="F637" s="3">
        <v>7.17</v>
      </c>
      <c r="G637" s="3">
        <v>26.15</v>
      </c>
      <c r="H637" s="4">
        <v>268.87</v>
      </c>
      <c r="I637" s="3">
        <v>82.52</v>
      </c>
      <c r="J637" t="s">
        <v>37</v>
      </c>
      <c r="K637" s="4">
        <v>4.65055</v>
      </c>
      <c r="L637" s="6" cm="1">
        <f t="array" ref="L637">_xlfn.PERCENTILE.INC(_xlfn._xlws.FILTER(tabla_base[Rendimiento_por_hectarea_ton], tabla_base[tipo_cultivo]=tabla_base[[#This Row],[tipo_cultivo]]), 0.75)</f>
        <v>5.2323700000000004</v>
      </c>
      <c r="M637" s="7" t="str">
        <f>IF(tabla_base[[#This Row],[Rendimiento_por_hectarea_ton]]&gt;tabla_base[[#This Row],[percentil_0,75]],"Sí","No")</f>
        <v>No</v>
      </c>
      <c r="N637" s="3">
        <v>0.71</v>
      </c>
      <c r="O637" t="s">
        <v>26</v>
      </c>
    </row>
    <row r="638" spans="1:15" x14ac:dyDescent="0.35">
      <c r="A638" t="s">
        <v>672</v>
      </c>
      <c r="B638" t="s">
        <v>16</v>
      </c>
      <c r="C638" t="s">
        <v>23</v>
      </c>
      <c r="D638" t="s">
        <v>31</v>
      </c>
      <c r="E638" s="3">
        <v>32.549999999999997</v>
      </c>
      <c r="F638" s="3">
        <v>6.73</v>
      </c>
      <c r="G638" s="3">
        <v>25.51</v>
      </c>
      <c r="H638" s="4">
        <v>141.54</v>
      </c>
      <c r="I638" s="3">
        <v>67.28</v>
      </c>
      <c r="J638" t="s">
        <v>37</v>
      </c>
      <c r="K638" s="4">
        <v>4.1937899999999999</v>
      </c>
      <c r="L638" s="6" cm="1">
        <f t="array" ref="L638">_xlfn.PERCENTILE.INC(_xlfn._xlws.FILTER(tabla_base[Rendimiento_por_hectarea_ton], tabla_base[tipo_cultivo]=tabla_base[[#This Row],[tipo_cultivo]]), 0.75)</f>
        <v>5.1742550000000005</v>
      </c>
      <c r="M638" s="7" t="str">
        <f>IF(tabla_base[[#This Row],[Rendimiento_por_hectarea_ton]]&gt;tabla_base[[#This Row],[percentil_0,75]],"Sí","No")</f>
        <v>No</v>
      </c>
      <c r="N638" s="3">
        <v>0.72</v>
      </c>
      <c r="O638" t="s">
        <v>19</v>
      </c>
    </row>
    <row r="639" spans="1:15" x14ac:dyDescent="0.35">
      <c r="A639" t="s">
        <v>673</v>
      </c>
      <c r="B639" t="s">
        <v>22</v>
      </c>
      <c r="C639" t="s">
        <v>30</v>
      </c>
      <c r="D639" t="s">
        <v>18</v>
      </c>
      <c r="E639" s="3">
        <v>18.5</v>
      </c>
      <c r="F639" s="3">
        <v>6.32</v>
      </c>
      <c r="G639" s="3">
        <v>33.700000000000003</v>
      </c>
      <c r="H639" s="4">
        <v>138.46</v>
      </c>
      <c r="I639" s="3">
        <v>88.39</v>
      </c>
      <c r="J639" t="s">
        <v>19</v>
      </c>
      <c r="K639" s="4">
        <v>3.52223</v>
      </c>
      <c r="L639" s="6" cm="1">
        <f t="array" ref="L639">_xlfn.PERCENTILE.INC(_xlfn._xlws.FILTER(tabla_base[Rendimiento_por_hectarea_ton], tabla_base[tipo_cultivo]=tabla_base[[#This Row],[tipo_cultivo]]), 0.75)</f>
        <v>5.2079399999999998</v>
      </c>
      <c r="M639" s="7" t="str">
        <f>IF(tabla_base[[#This Row],[Rendimiento_por_hectarea_ton]]&gt;tabla_base[[#This Row],[percentil_0,75]],"Sí","No")</f>
        <v>No</v>
      </c>
      <c r="N639" s="3">
        <v>0.7</v>
      </c>
      <c r="O639" t="s">
        <v>19</v>
      </c>
    </row>
    <row r="640" spans="1:15" x14ac:dyDescent="0.35">
      <c r="A640" t="s">
        <v>674</v>
      </c>
      <c r="B640" t="s">
        <v>16</v>
      </c>
      <c r="C640" t="s">
        <v>17</v>
      </c>
      <c r="D640" t="s">
        <v>31</v>
      </c>
      <c r="E640" s="3">
        <v>37.17</v>
      </c>
      <c r="F640" s="3">
        <v>5.63</v>
      </c>
      <c r="G640" s="3">
        <v>34.090000000000003</v>
      </c>
      <c r="H640" s="4">
        <v>65.08</v>
      </c>
      <c r="I640" s="3">
        <v>66.849999999999994</v>
      </c>
      <c r="J640" t="s">
        <v>37</v>
      </c>
      <c r="K640" s="4">
        <v>5.5902900000000004</v>
      </c>
      <c r="L640" s="6" cm="1">
        <f t="array" ref="L640">_xlfn.PERCENTILE.INC(_xlfn._xlws.FILTER(tabla_base[Rendimiento_por_hectarea_ton], tabla_base[tipo_cultivo]=tabla_base[[#This Row],[tipo_cultivo]]), 0.75)</f>
        <v>5.1742550000000005</v>
      </c>
      <c r="M640" s="7" t="str">
        <f>IF(tabla_base[[#This Row],[Rendimiento_por_hectarea_ton]]&gt;tabla_base[[#This Row],[percentil_0,75]],"Sí","No")</f>
        <v>Sí</v>
      </c>
      <c r="N640" s="3">
        <v>0.84</v>
      </c>
      <c r="O640" t="s">
        <v>19</v>
      </c>
    </row>
    <row r="641" spans="1:15" x14ac:dyDescent="0.35">
      <c r="A641" t="s">
        <v>675</v>
      </c>
      <c r="B641" t="s">
        <v>22</v>
      </c>
      <c r="C641" t="s">
        <v>23</v>
      </c>
      <c r="D641" t="s">
        <v>35</v>
      </c>
      <c r="E641" s="3">
        <v>19.829999999999998</v>
      </c>
      <c r="F641" s="3">
        <v>7.37</v>
      </c>
      <c r="G641" s="3">
        <v>28.7</v>
      </c>
      <c r="H641" s="4">
        <v>263.64</v>
      </c>
      <c r="I641" s="3">
        <v>70.459999999999994</v>
      </c>
      <c r="J641" t="s">
        <v>37</v>
      </c>
      <c r="K641" s="4">
        <v>2.9258099999999998</v>
      </c>
      <c r="L641" s="6" cm="1">
        <f t="array" ref="L641">_xlfn.PERCENTILE.INC(_xlfn._xlws.FILTER(tabla_base[Rendimiento_por_hectarea_ton], tabla_base[tipo_cultivo]=tabla_base[[#This Row],[tipo_cultivo]]), 0.75)</f>
        <v>5.1318025</v>
      </c>
      <c r="M641" s="7" t="str">
        <f>IF(tabla_base[[#This Row],[Rendimiento_por_hectarea_ton]]&gt;tabla_base[[#This Row],[percentil_0,75]],"Sí","No")</f>
        <v>No</v>
      </c>
      <c r="N641" s="3">
        <v>0.77</v>
      </c>
      <c r="O641" t="s">
        <v>19</v>
      </c>
    </row>
    <row r="642" spans="1:15" x14ac:dyDescent="0.35">
      <c r="A642" t="s">
        <v>676</v>
      </c>
      <c r="B642" t="s">
        <v>16</v>
      </c>
      <c r="C642" t="s">
        <v>30</v>
      </c>
      <c r="D642" t="s">
        <v>35</v>
      </c>
      <c r="E642" s="3">
        <v>38.57</v>
      </c>
      <c r="F642" s="3">
        <v>5.92</v>
      </c>
      <c r="G642" s="3">
        <v>26.47</v>
      </c>
      <c r="H642" s="4">
        <v>245.91</v>
      </c>
      <c r="I642" s="3">
        <v>63.14</v>
      </c>
      <c r="J642" t="s">
        <v>25</v>
      </c>
      <c r="K642" s="4">
        <v>5.7813299999999996</v>
      </c>
      <c r="L642" s="6" cm="1">
        <f t="array" ref="L642">_xlfn.PERCENTILE.INC(_xlfn._xlws.FILTER(tabla_base[Rendimiento_por_hectarea_ton], tabla_base[tipo_cultivo]=tabla_base[[#This Row],[tipo_cultivo]]), 0.75)</f>
        <v>5.1318025</v>
      </c>
      <c r="M642" s="7" t="str">
        <f>IF(tabla_base[[#This Row],[Rendimiento_por_hectarea_ton]]&gt;tabla_base[[#This Row],[percentil_0,75]],"Sí","No")</f>
        <v>Sí</v>
      </c>
      <c r="N642" s="3">
        <v>0.66</v>
      </c>
      <c r="O642" t="s">
        <v>19</v>
      </c>
    </row>
    <row r="643" spans="1:15" x14ac:dyDescent="0.35">
      <c r="A643" t="s">
        <v>677</v>
      </c>
      <c r="B643" t="s">
        <v>22</v>
      </c>
      <c r="C643" t="s">
        <v>30</v>
      </c>
      <c r="D643" t="s">
        <v>24</v>
      </c>
      <c r="E643" s="3">
        <v>18.39</v>
      </c>
      <c r="F643" s="3">
        <v>6.94</v>
      </c>
      <c r="G643" s="3">
        <v>20.79</v>
      </c>
      <c r="H643" s="4">
        <v>72.14</v>
      </c>
      <c r="I643" s="3">
        <v>70.430000000000007</v>
      </c>
      <c r="J643" t="s">
        <v>37</v>
      </c>
      <c r="K643" s="4">
        <v>5.3529400000000003</v>
      </c>
      <c r="L643" s="6" cm="1">
        <f t="array" ref="L643">_xlfn.PERCENTILE.INC(_xlfn._xlws.FILTER(tabla_base[Rendimiento_por_hectarea_ton], tabla_base[tipo_cultivo]=tabla_base[[#This Row],[tipo_cultivo]]), 0.75)</f>
        <v>5.3984449999999997</v>
      </c>
      <c r="M643" s="7" t="str">
        <f>IF(tabla_base[[#This Row],[Rendimiento_por_hectarea_ton]]&gt;tabla_base[[#This Row],[percentil_0,75]],"Sí","No")</f>
        <v>No</v>
      </c>
      <c r="N643" s="3">
        <v>0.56999999999999995</v>
      </c>
      <c r="O643" t="s">
        <v>19</v>
      </c>
    </row>
    <row r="644" spans="1:15" x14ac:dyDescent="0.35">
      <c r="A644" t="s">
        <v>678</v>
      </c>
      <c r="B644" t="s">
        <v>22</v>
      </c>
      <c r="C644" t="s">
        <v>30</v>
      </c>
      <c r="D644" t="s">
        <v>33</v>
      </c>
      <c r="E644" s="3">
        <v>24.94</v>
      </c>
      <c r="F644" s="3">
        <v>7.08</v>
      </c>
      <c r="G644" s="3">
        <v>26.63</v>
      </c>
      <c r="H644" s="4">
        <v>211.87</v>
      </c>
      <c r="I644" s="3">
        <v>56.47</v>
      </c>
      <c r="J644" t="s">
        <v>25</v>
      </c>
      <c r="K644" s="4">
        <v>3.4326099999999999</v>
      </c>
      <c r="L644" s="6" cm="1">
        <f t="array" ref="L644">_xlfn.PERCENTILE.INC(_xlfn._xlws.FILTER(tabla_base[Rendimiento_por_hectarea_ton], tabla_base[tipo_cultivo]=tabla_base[[#This Row],[tipo_cultivo]]), 0.75)</f>
        <v>5.1635450000000001</v>
      </c>
      <c r="M644" s="7" t="str">
        <f>IF(tabla_base[[#This Row],[Rendimiento_por_hectarea_ton]]&gt;tabla_base[[#This Row],[percentil_0,75]],"Sí","No")</f>
        <v>No</v>
      </c>
      <c r="N644" s="3">
        <v>0.56999999999999995</v>
      </c>
      <c r="O644" t="s">
        <v>26</v>
      </c>
    </row>
    <row r="645" spans="1:15" x14ac:dyDescent="0.35">
      <c r="A645" t="s">
        <v>679</v>
      </c>
      <c r="B645" t="s">
        <v>22</v>
      </c>
      <c r="C645" t="s">
        <v>30</v>
      </c>
      <c r="D645" t="s">
        <v>18</v>
      </c>
      <c r="E645" s="3">
        <v>27.02</v>
      </c>
      <c r="F645" s="3">
        <v>6.72</v>
      </c>
      <c r="G645" s="3">
        <v>15.97</v>
      </c>
      <c r="H645" s="4">
        <v>215.38</v>
      </c>
      <c r="I645" s="3">
        <v>80.099999999999994</v>
      </c>
      <c r="J645" t="s">
        <v>19</v>
      </c>
      <c r="K645" s="4">
        <v>2.8081200000000002</v>
      </c>
      <c r="L645" s="6" cm="1">
        <f t="array" ref="L645">_xlfn.PERCENTILE.INC(_xlfn._xlws.FILTER(tabla_base[Rendimiento_por_hectarea_ton], tabla_base[tipo_cultivo]=tabla_base[[#This Row],[tipo_cultivo]]), 0.75)</f>
        <v>5.2079399999999998</v>
      </c>
      <c r="M645" s="7" t="str">
        <f>IF(tabla_base[[#This Row],[Rendimiento_por_hectarea_ton]]&gt;tabla_base[[#This Row],[percentil_0,75]],"Sí","No")</f>
        <v>No</v>
      </c>
      <c r="N645" s="3">
        <v>0.71</v>
      </c>
      <c r="O645" t="s">
        <v>19</v>
      </c>
    </row>
    <row r="646" spans="1:15" x14ac:dyDescent="0.35">
      <c r="A646" t="s">
        <v>680</v>
      </c>
      <c r="B646" t="s">
        <v>544</v>
      </c>
      <c r="C646" t="s">
        <v>23</v>
      </c>
      <c r="D646" t="s">
        <v>31</v>
      </c>
      <c r="E646" s="3">
        <v>17.95</v>
      </c>
      <c r="F646" s="3">
        <v>7.27</v>
      </c>
      <c r="G646" s="3">
        <v>26.92</v>
      </c>
      <c r="H646" s="4">
        <v>150.74</v>
      </c>
      <c r="I646" s="3">
        <v>87.59</v>
      </c>
      <c r="J646" t="s">
        <v>25</v>
      </c>
      <c r="K646" s="4">
        <v>4.9473099999999999</v>
      </c>
      <c r="L646" s="6" cm="1">
        <f t="array" ref="L646">_xlfn.PERCENTILE.INC(_xlfn._xlws.FILTER(tabla_base[Rendimiento_por_hectarea_ton], tabla_base[tipo_cultivo]=tabla_base[[#This Row],[tipo_cultivo]]), 0.75)</f>
        <v>5.1742550000000005</v>
      </c>
      <c r="M646" s="7" t="str">
        <f>IF(tabla_base[[#This Row],[Rendimiento_por_hectarea_ton]]&gt;tabla_base[[#This Row],[percentil_0,75]],"Sí","No")</f>
        <v>No</v>
      </c>
      <c r="N646" s="3">
        <v>0.62</v>
      </c>
      <c r="O646" t="s">
        <v>26</v>
      </c>
    </row>
    <row r="647" spans="1:15" x14ac:dyDescent="0.35">
      <c r="A647" t="s">
        <v>681</v>
      </c>
      <c r="B647" t="s">
        <v>22</v>
      </c>
      <c r="C647" t="s">
        <v>30</v>
      </c>
      <c r="D647" t="s">
        <v>33</v>
      </c>
      <c r="E647" s="3">
        <v>34.32</v>
      </c>
      <c r="F647" s="3">
        <v>6.1</v>
      </c>
      <c r="G647" s="3">
        <v>32.729999999999997</v>
      </c>
      <c r="H647" s="4">
        <v>186.25</v>
      </c>
      <c r="I647" s="3">
        <v>69.89</v>
      </c>
      <c r="J647" t="s">
        <v>28</v>
      </c>
      <c r="K647" s="4">
        <v>5.4233799999999999</v>
      </c>
      <c r="L647" s="6" cm="1">
        <f t="array" ref="L647">_xlfn.PERCENTILE.INC(_xlfn._xlws.FILTER(tabla_base[Rendimiento_por_hectarea_ton], tabla_base[tipo_cultivo]=tabla_base[[#This Row],[tipo_cultivo]]), 0.75)</f>
        <v>5.1635450000000001</v>
      </c>
      <c r="M647" s="7" t="str">
        <f>IF(tabla_base[[#This Row],[Rendimiento_por_hectarea_ton]]&gt;tabla_base[[#This Row],[percentil_0,75]],"Sí","No")</f>
        <v>Sí</v>
      </c>
      <c r="N647" s="3">
        <v>0.86</v>
      </c>
      <c r="O647" t="s">
        <v>26</v>
      </c>
    </row>
    <row r="648" spans="1:15" x14ac:dyDescent="0.35">
      <c r="A648" t="s">
        <v>682</v>
      </c>
      <c r="B648" t="s">
        <v>16</v>
      </c>
      <c r="C648" t="s">
        <v>23</v>
      </c>
      <c r="D648" t="s">
        <v>547</v>
      </c>
      <c r="E648" s="3">
        <v>29.62</v>
      </c>
      <c r="F648" s="3">
        <v>5.86</v>
      </c>
      <c r="G648" s="3">
        <v>28.08</v>
      </c>
      <c r="H648" s="4">
        <v>182.31</v>
      </c>
      <c r="I648" s="3">
        <v>58.9</v>
      </c>
      <c r="J648" t="s">
        <v>19</v>
      </c>
      <c r="K648" s="4">
        <v>3.3500800000000002</v>
      </c>
      <c r="L648" s="6" cm="1">
        <f t="array" ref="L648">_xlfn.PERCENTILE.INC(_xlfn._xlws.FILTER(tabla_base[Rendimiento_por_hectarea_ton], tabla_base[tipo_cultivo]=tabla_base[[#This Row],[tipo_cultivo]]), 0.75)</f>
        <v>5.2323700000000004</v>
      </c>
      <c r="M648" s="7" t="str">
        <f>IF(tabla_base[[#This Row],[Rendimiento_por_hectarea_ton]]&gt;tabla_base[[#This Row],[percentil_0,75]],"Sí","No")</f>
        <v>No</v>
      </c>
      <c r="N648" s="3">
        <v>0.6</v>
      </c>
      <c r="O648" t="s">
        <v>20</v>
      </c>
    </row>
    <row r="649" spans="1:15" x14ac:dyDescent="0.35">
      <c r="A649" t="s">
        <v>683</v>
      </c>
      <c r="B649" t="s">
        <v>16</v>
      </c>
      <c r="C649" t="s">
        <v>17</v>
      </c>
      <c r="D649" t="s">
        <v>547</v>
      </c>
      <c r="E649" s="3">
        <v>32.130000000000003</v>
      </c>
      <c r="F649" s="3">
        <v>6</v>
      </c>
      <c r="G649" s="3">
        <v>15.61</v>
      </c>
      <c r="H649" s="4">
        <v>130.79</v>
      </c>
      <c r="I649" s="3">
        <v>61.23</v>
      </c>
      <c r="J649" t="s">
        <v>19</v>
      </c>
      <c r="K649" s="4">
        <v>4.9350100000000001</v>
      </c>
      <c r="L649" s="6" cm="1">
        <f t="array" ref="L649">_xlfn.PERCENTILE.INC(_xlfn._xlws.FILTER(tabla_base[Rendimiento_por_hectarea_ton], tabla_base[tipo_cultivo]=tabla_base[[#This Row],[tipo_cultivo]]), 0.75)</f>
        <v>5.2323700000000004</v>
      </c>
      <c r="M649" s="7" t="str">
        <f>IF(tabla_base[[#This Row],[Rendimiento_por_hectarea_ton]]&gt;tabla_base[[#This Row],[percentil_0,75]],"Sí","No")</f>
        <v>No</v>
      </c>
      <c r="N649" s="3">
        <v>0.63</v>
      </c>
      <c r="O649" t="s">
        <v>26</v>
      </c>
    </row>
    <row r="650" spans="1:15" x14ac:dyDescent="0.35">
      <c r="A650" t="s">
        <v>684</v>
      </c>
      <c r="B650" t="s">
        <v>22</v>
      </c>
      <c r="C650" t="s">
        <v>17</v>
      </c>
      <c r="D650" t="s">
        <v>31</v>
      </c>
      <c r="E650" s="3">
        <v>20.02</v>
      </c>
      <c r="F650" s="3">
        <v>5.65</v>
      </c>
      <c r="G650" s="3">
        <v>23.96</v>
      </c>
      <c r="H650" s="4">
        <v>186.29</v>
      </c>
      <c r="I650" s="3">
        <v>71.09</v>
      </c>
      <c r="J650" t="s">
        <v>28</v>
      </c>
      <c r="K650" s="4">
        <v>5.4613699999999996</v>
      </c>
      <c r="L650" s="6" cm="1">
        <f t="array" ref="L650">_xlfn.PERCENTILE.INC(_xlfn._xlws.FILTER(tabla_base[Rendimiento_por_hectarea_ton], tabla_base[tipo_cultivo]=tabla_base[[#This Row],[tipo_cultivo]]), 0.75)</f>
        <v>5.1742550000000005</v>
      </c>
      <c r="M650" s="7" t="str">
        <f>IF(tabla_base[[#This Row],[Rendimiento_por_hectarea_ton]]&gt;tabla_base[[#This Row],[percentil_0,75]],"Sí","No")</f>
        <v>Sí</v>
      </c>
      <c r="N650" s="3">
        <v>0.76</v>
      </c>
      <c r="O650" t="s">
        <v>20</v>
      </c>
    </row>
    <row r="651" spans="1:15" x14ac:dyDescent="0.35">
      <c r="A651" t="s">
        <v>685</v>
      </c>
      <c r="B651" t="s">
        <v>544</v>
      </c>
      <c r="C651" t="s">
        <v>30</v>
      </c>
      <c r="D651" t="s">
        <v>18</v>
      </c>
      <c r="E651" s="3">
        <v>34.83</v>
      </c>
      <c r="F651" s="3">
        <v>5.81</v>
      </c>
      <c r="G651" s="3">
        <v>29.96</v>
      </c>
      <c r="H651" s="4">
        <v>135.63</v>
      </c>
      <c r="I651" s="3">
        <v>71.510000000000005</v>
      </c>
      <c r="J651" t="s">
        <v>19</v>
      </c>
      <c r="K651" s="4">
        <v>4.8275399999999999</v>
      </c>
      <c r="L651" s="6" cm="1">
        <f t="array" ref="L651">_xlfn.PERCENTILE.INC(_xlfn._xlws.FILTER(tabla_base[Rendimiento_por_hectarea_ton], tabla_base[tipo_cultivo]=tabla_base[[#This Row],[tipo_cultivo]]), 0.75)</f>
        <v>5.2079399999999998</v>
      </c>
      <c r="M651" s="7" t="str">
        <f>IF(tabla_base[[#This Row],[Rendimiento_por_hectarea_ton]]&gt;tabla_base[[#This Row],[percentil_0,75]],"Sí","No")</f>
        <v>No</v>
      </c>
      <c r="N651" s="3">
        <v>0.64</v>
      </c>
      <c r="O651" t="s">
        <v>20</v>
      </c>
    </row>
    <row r="652" spans="1:15" x14ac:dyDescent="0.35">
      <c r="A652" t="s">
        <v>686</v>
      </c>
      <c r="B652" t="s">
        <v>16</v>
      </c>
      <c r="C652" t="s">
        <v>23</v>
      </c>
      <c r="D652" t="s">
        <v>33</v>
      </c>
      <c r="E652" s="3">
        <v>36.76</v>
      </c>
      <c r="F652" s="3">
        <v>6.41</v>
      </c>
      <c r="G652" s="3">
        <v>32.369999999999997</v>
      </c>
      <c r="H652" s="4">
        <v>220.23</v>
      </c>
      <c r="I652" s="3">
        <v>71.930000000000007</v>
      </c>
      <c r="J652" t="s">
        <v>37</v>
      </c>
      <c r="K652" s="4">
        <v>2.5163600000000002</v>
      </c>
      <c r="L652" s="6" cm="1">
        <f t="array" ref="L652">_xlfn.PERCENTILE.INC(_xlfn._xlws.FILTER(tabla_base[Rendimiento_por_hectarea_ton], tabla_base[tipo_cultivo]=tabla_base[[#This Row],[tipo_cultivo]]), 0.75)</f>
        <v>5.1635450000000001</v>
      </c>
      <c r="M652" s="7" t="str">
        <f>IF(tabla_base[[#This Row],[Rendimiento_por_hectarea_ton]]&gt;tabla_base[[#This Row],[percentil_0,75]],"Sí","No")</f>
        <v>No</v>
      </c>
      <c r="N652" s="3">
        <v>0.81</v>
      </c>
      <c r="O652" t="s">
        <v>19</v>
      </c>
    </row>
    <row r="653" spans="1:15" x14ac:dyDescent="0.35">
      <c r="A653" t="s">
        <v>687</v>
      </c>
      <c r="B653" t="s">
        <v>16</v>
      </c>
      <c r="C653" t="s">
        <v>17</v>
      </c>
      <c r="D653" t="s">
        <v>31</v>
      </c>
      <c r="E653" s="3">
        <v>25.44</v>
      </c>
      <c r="F653" s="3">
        <v>6.16</v>
      </c>
      <c r="G653" s="3">
        <v>29.69</v>
      </c>
      <c r="H653" s="4">
        <v>149.66</v>
      </c>
      <c r="I653" s="3">
        <v>77.33</v>
      </c>
      <c r="J653" t="s">
        <v>25</v>
      </c>
      <c r="K653" s="4">
        <v>2.9182600000000001</v>
      </c>
      <c r="L653" s="6" cm="1">
        <f t="array" ref="L653">_xlfn.PERCENTILE.INC(_xlfn._xlws.FILTER(tabla_base[Rendimiento_por_hectarea_ton], tabla_base[tipo_cultivo]=tabla_base[[#This Row],[tipo_cultivo]]), 0.75)</f>
        <v>5.1742550000000005</v>
      </c>
      <c r="M653" s="7" t="str">
        <f>IF(tabla_base[[#This Row],[Rendimiento_por_hectarea_ton]]&gt;tabla_base[[#This Row],[percentil_0,75]],"Sí","No")</f>
        <v>No</v>
      </c>
      <c r="N653" s="3">
        <v>0.88</v>
      </c>
      <c r="O653" t="s">
        <v>20</v>
      </c>
    </row>
    <row r="654" spans="1:15" x14ac:dyDescent="0.35">
      <c r="A654" t="s">
        <v>688</v>
      </c>
      <c r="B654" t="s">
        <v>544</v>
      </c>
      <c r="C654" t="s">
        <v>23</v>
      </c>
      <c r="D654" t="s">
        <v>24</v>
      </c>
      <c r="E654" s="3">
        <v>27.66</v>
      </c>
      <c r="F654" s="3">
        <v>5.51</v>
      </c>
      <c r="G654" s="3">
        <v>30.19</v>
      </c>
      <c r="H654" s="4">
        <v>170.33</v>
      </c>
      <c r="I654" s="3">
        <v>53.71</v>
      </c>
      <c r="J654" t="s">
        <v>19</v>
      </c>
      <c r="K654" s="4">
        <v>5.5456099999999999</v>
      </c>
      <c r="L654" s="6" cm="1">
        <f t="array" ref="L654">_xlfn.PERCENTILE.INC(_xlfn._xlws.FILTER(tabla_base[Rendimiento_por_hectarea_ton], tabla_base[tipo_cultivo]=tabla_base[[#This Row],[tipo_cultivo]]), 0.75)</f>
        <v>5.3984449999999997</v>
      </c>
      <c r="M654" s="7" t="str">
        <f>IF(tabla_base[[#This Row],[Rendimiento_por_hectarea_ton]]&gt;tabla_base[[#This Row],[percentil_0,75]],"Sí","No")</f>
        <v>Sí</v>
      </c>
      <c r="N654" s="3">
        <v>0.7</v>
      </c>
      <c r="O654" t="s">
        <v>19</v>
      </c>
    </row>
    <row r="655" spans="1:15" x14ac:dyDescent="0.35">
      <c r="A655" t="s">
        <v>689</v>
      </c>
      <c r="B655" t="s">
        <v>22</v>
      </c>
      <c r="C655" t="s">
        <v>30</v>
      </c>
      <c r="D655" t="s">
        <v>35</v>
      </c>
      <c r="E655" s="3">
        <v>32.28</v>
      </c>
      <c r="F655" s="3">
        <v>6.16</v>
      </c>
      <c r="G655" s="3">
        <v>29.98</v>
      </c>
      <c r="H655" s="4">
        <v>254.55</v>
      </c>
      <c r="I655" s="3">
        <v>68.42</v>
      </c>
      <c r="J655" t="s">
        <v>28</v>
      </c>
      <c r="K655" s="4">
        <v>2.9432399999999999</v>
      </c>
      <c r="L655" s="6" cm="1">
        <f t="array" ref="L655">_xlfn.PERCENTILE.INC(_xlfn._xlws.FILTER(tabla_base[Rendimiento_por_hectarea_ton], tabla_base[tipo_cultivo]=tabla_base[[#This Row],[tipo_cultivo]]), 0.75)</f>
        <v>5.1318025</v>
      </c>
      <c r="M655" s="7" t="str">
        <f>IF(tabla_base[[#This Row],[Rendimiento_por_hectarea_ton]]&gt;tabla_base[[#This Row],[percentil_0,75]],"Sí","No")</f>
        <v>No</v>
      </c>
      <c r="N655" s="3">
        <v>0.86</v>
      </c>
      <c r="O655" t="s">
        <v>19</v>
      </c>
    </row>
    <row r="656" spans="1:15" x14ac:dyDescent="0.35">
      <c r="A656" t="s">
        <v>690</v>
      </c>
      <c r="B656" t="s">
        <v>22</v>
      </c>
      <c r="C656" t="s">
        <v>30</v>
      </c>
      <c r="D656" t="s">
        <v>31</v>
      </c>
      <c r="E656" s="3">
        <v>32.619999999999997</v>
      </c>
      <c r="F656" s="3">
        <v>6</v>
      </c>
      <c r="G656" s="3">
        <v>19.64</v>
      </c>
      <c r="H656" s="4">
        <v>162.22999999999999</v>
      </c>
      <c r="I656" s="3">
        <v>86.79</v>
      </c>
      <c r="J656" t="s">
        <v>25</v>
      </c>
      <c r="K656" s="4">
        <v>4.3229100000000003</v>
      </c>
      <c r="L656" s="6" cm="1">
        <f t="array" ref="L656">_xlfn.PERCENTILE.INC(_xlfn._xlws.FILTER(tabla_base[Rendimiento_por_hectarea_ton], tabla_base[tipo_cultivo]=tabla_base[[#This Row],[tipo_cultivo]]), 0.75)</f>
        <v>5.1742550000000005</v>
      </c>
      <c r="M656" s="7" t="str">
        <f>IF(tabla_base[[#This Row],[Rendimiento_por_hectarea_ton]]&gt;tabla_base[[#This Row],[percentil_0,75]],"Sí","No")</f>
        <v>No</v>
      </c>
      <c r="N656" s="3">
        <v>0.53</v>
      </c>
      <c r="O656" t="s">
        <v>26</v>
      </c>
    </row>
    <row r="657" spans="1:15" x14ac:dyDescent="0.35">
      <c r="A657" t="s">
        <v>691</v>
      </c>
      <c r="B657" t="s">
        <v>16</v>
      </c>
      <c r="C657" t="s">
        <v>17</v>
      </c>
      <c r="D657" t="s">
        <v>18</v>
      </c>
      <c r="E657" s="3">
        <v>22.74</v>
      </c>
      <c r="F657" s="3">
        <v>5.94</v>
      </c>
      <c r="G657" s="3">
        <v>24.73</v>
      </c>
      <c r="H657" s="4">
        <v>208.97</v>
      </c>
      <c r="I657" s="3">
        <v>72.55</v>
      </c>
      <c r="J657" t="s">
        <v>37</v>
      </c>
      <c r="K657" s="4">
        <v>6.1353</v>
      </c>
      <c r="L657" s="6" cm="1">
        <f t="array" ref="L657">_xlfn.PERCENTILE.INC(_xlfn._xlws.FILTER(tabla_base[Rendimiento_por_hectarea_ton], tabla_base[tipo_cultivo]=tabla_base[[#This Row],[tipo_cultivo]]), 0.75)</f>
        <v>5.2079399999999998</v>
      </c>
      <c r="M657" s="7" t="str">
        <f>IF(tabla_base[[#This Row],[Rendimiento_por_hectarea_ton]]&gt;tabla_base[[#This Row],[percentil_0,75]],"Sí","No")</f>
        <v>Sí</v>
      </c>
      <c r="N657" s="3">
        <v>0.78</v>
      </c>
      <c r="O657" t="s">
        <v>20</v>
      </c>
    </row>
    <row r="658" spans="1:15" x14ac:dyDescent="0.35">
      <c r="A658" t="s">
        <v>692</v>
      </c>
      <c r="B658" t="s">
        <v>22</v>
      </c>
      <c r="C658" t="s">
        <v>17</v>
      </c>
      <c r="D658" t="s">
        <v>547</v>
      </c>
      <c r="E658" s="3">
        <v>18.489999999999998</v>
      </c>
      <c r="F658" s="3">
        <v>5.95</v>
      </c>
      <c r="G658" s="3">
        <v>31.31</v>
      </c>
      <c r="H658" s="4">
        <v>241.12</v>
      </c>
      <c r="I658" s="3">
        <v>76.87</v>
      </c>
      <c r="J658" t="s">
        <v>28</v>
      </c>
      <c r="K658" s="4">
        <v>2.5304700000000002</v>
      </c>
      <c r="L658" s="6" cm="1">
        <f t="array" ref="L658">_xlfn.PERCENTILE.INC(_xlfn._xlws.FILTER(tabla_base[Rendimiento_por_hectarea_ton], tabla_base[tipo_cultivo]=tabla_base[[#This Row],[tipo_cultivo]]), 0.75)</f>
        <v>5.2323700000000004</v>
      </c>
      <c r="M658" s="7" t="str">
        <f>IF(tabla_base[[#This Row],[Rendimiento_por_hectarea_ton]]&gt;tabla_base[[#This Row],[percentil_0,75]],"Sí","No")</f>
        <v>No</v>
      </c>
      <c r="N658" s="3">
        <v>0.74</v>
      </c>
      <c r="O658" t="s">
        <v>19</v>
      </c>
    </row>
    <row r="659" spans="1:15" x14ac:dyDescent="0.35">
      <c r="A659" t="s">
        <v>693</v>
      </c>
      <c r="B659" t="s">
        <v>544</v>
      </c>
      <c r="C659" t="s">
        <v>30</v>
      </c>
      <c r="D659" t="s">
        <v>31</v>
      </c>
      <c r="E659" s="3">
        <v>39.630000000000003</v>
      </c>
      <c r="F659" s="3">
        <v>6.88</v>
      </c>
      <c r="G659" s="3">
        <v>17.309999999999999</v>
      </c>
      <c r="H659" s="4">
        <v>277.36</v>
      </c>
      <c r="I659" s="3">
        <v>58.08</v>
      </c>
      <c r="J659" t="s">
        <v>37</v>
      </c>
      <c r="K659" s="4">
        <v>5.1916900000000004</v>
      </c>
      <c r="L659" s="6" cm="1">
        <f t="array" ref="L659">_xlfn.PERCENTILE.INC(_xlfn._xlws.FILTER(tabla_base[Rendimiento_por_hectarea_ton], tabla_base[tipo_cultivo]=tabla_base[[#This Row],[tipo_cultivo]]), 0.75)</f>
        <v>5.1742550000000005</v>
      </c>
      <c r="M659" s="7" t="str">
        <f>IF(tabla_base[[#This Row],[Rendimiento_por_hectarea_ton]]&gt;tabla_base[[#This Row],[percentil_0,75]],"Sí","No")</f>
        <v>Sí</v>
      </c>
      <c r="N659" s="3">
        <v>0.75</v>
      </c>
      <c r="O659" t="s">
        <v>26</v>
      </c>
    </row>
    <row r="660" spans="1:15" x14ac:dyDescent="0.35">
      <c r="A660" t="s">
        <v>694</v>
      </c>
      <c r="B660" t="s">
        <v>16</v>
      </c>
      <c r="C660" t="s">
        <v>17</v>
      </c>
      <c r="D660" t="s">
        <v>18</v>
      </c>
      <c r="E660" s="3">
        <v>29.55</v>
      </c>
      <c r="F660" s="3">
        <v>6.16</v>
      </c>
      <c r="G660" s="3">
        <v>30.11</v>
      </c>
      <c r="H660" s="4">
        <v>89.17</v>
      </c>
      <c r="I660" s="3">
        <v>71.900000000000006</v>
      </c>
      <c r="J660" t="s">
        <v>19</v>
      </c>
      <c r="K660" s="4">
        <v>4.9378900000000003</v>
      </c>
      <c r="L660" s="6" cm="1">
        <f t="array" ref="L660">_xlfn.PERCENTILE.INC(_xlfn._xlws.FILTER(tabla_base[Rendimiento_por_hectarea_ton], tabla_base[tipo_cultivo]=tabla_base[[#This Row],[tipo_cultivo]]), 0.75)</f>
        <v>5.2079399999999998</v>
      </c>
      <c r="M660" s="7" t="str">
        <f>IF(tabla_base[[#This Row],[Rendimiento_por_hectarea_ton]]&gt;tabla_base[[#This Row],[percentil_0,75]],"Sí","No")</f>
        <v>No</v>
      </c>
      <c r="N660" s="3">
        <v>0.63</v>
      </c>
      <c r="O660" t="s">
        <v>20</v>
      </c>
    </row>
    <row r="661" spans="1:15" x14ac:dyDescent="0.35">
      <c r="A661" t="s">
        <v>695</v>
      </c>
      <c r="B661" t="s">
        <v>22</v>
      </c>
      <c r="C661" t="s">
        <v>30</v>
      </c>
      <c r="D661" t="s">
        <v>547</v>
      </c>
      <c r="E661" s="3">
        <v>39.99</v>
      </c>
      <c r="F661" s="3">
        <v>6.29</v>
      </c>
      <c r="G661" s="3">
        <v>23.34</v>
      </c>
      <c r="H661" s="4">
        <v>251.21</v>
      </c>
      <c r="I661" s="3">
        <v>78.34</v>
      </c>
      <c r="J661" t="s">
        <v>19</v>
      </c>
      <c r="K661" s="4">
        <v>4.42882</v>
      </c>
      <c r="L661" s="6" cm="1">
        <f t="array" ref="L661">_xlfn.PERCENTILE.INC(_xlfn._xlws.FILTER(tabla_base[Rendimiento_por_hectarea_ton], tabla_base[tipo_cultivo]=tabla_base[[#This Row],[tipo_cultivo]]), 0.75)</f>
        <v>5.2323700000000004</v>
      </c>
      <c r="M661" s="7" t="str">
        <f>IF(tabla_base[[#This Row],[Rendimiento_por_hectarea_ton]]&gt;tabla_base[[#This Row],[percentil_0,75]],"Sí","No")</f>
        <v>No</v>
      </c>
      <c r="N661" s="3">
        <v>0.89</v>
      </c>
      <c r="O661" t="s">
        <v>19</v>
      </c>
    </row>
    <row r="662" spans="1:15" x14ac:dyDescent="0.35">
      <c r="A662" t="s">
        <v>696</v>
      </c>
      <c r="B662" t="s">
        <v>16</v>
      </c>
      <c r="C662" t="s">
        <v>23</v>
      </c>
      <c r="D662" t="s">
        <v>18</v>
      </c>
      <c r="E662" s="3">
        <v>17.579999999999998</v>
      </c>
      <c r="F662" s="3">
        <v>6.22</v>
      </c>
      <c r="G662" s="3">
        <v>19.579999999999998</v>
      </c>
      <c r="H662" s="4">
        <v>56.97</v>
      </c>
      <c r="I662" s="3">
        <v>77.319999999999993</v>
      </c>
      <c r="J662" t="s">
        <v>19</v>
      </c>
      <c r="K662" s="4">
        <v>5.3894399999999996</v>
      </c>
      <c r="L662" s="6" cm="1">
        <f t="array" ref="L662">_xlfn.PERCENTILE.INC(_xlfn._xlws.FILTER(tabla_base[Rendimiento_por_hectarea_ton], tabla_base[tipo_cultivo]=tabla_base[[#This Row],[tipo_cultivo]]), 0.75)</f>
        <v>5.2079399999999998</v>
      </c>
      <c r="M662" s="7" t="str">
        <f>IF(tabla_base[[#This Row],[Rendimiento_por_hectarea_ton]]&gt;tabla_base[[#This Row],[percentil_0,75]],"Sí","No")</f>
        <v>Sí</v>
      </c>
      <c r="N662" s="3">
        <v>0.76</v>
      </c>
      <c r="O662" t="s">
        <v>20</v>
      </c>
    </row>
    <row r="663" spans="1:15" x14ac:dyDescent="0.35">
      <c r="A663" t="s">
        <v>697</v>
      </c>
      <c r="B663" t="s">
        <v>16</v>
      </c>
      <c r="C663" t="s">
        <v>23</v>
      </c>
      <c r="D663" t="s">
        <v>18</v>
      </c>
      <c r="E663" s="3">
        <v>30.52</v>
      </c>
      <c r="F663" s="3">
        <v>5.96</v>
      </c>
      <c r="G663" s="3">
        <v>24.36</v>
      </c>
      <c r="H663" s="4">
        <v>274.06</v>
      </c>
      <c r="I663" s="3">
        <v>55.26</v>
      </c>
      <c r="J663" t="s">
        <v>28</v>
      </c>
      <c r="K663" s="4">
        <v>3.9818899999999999</v>
      </c>
      <c r="L663" s="6" cm="1">
        <f t="array" ref="L663">_xlfn.PERCENTILE.INC(_xlfn._xlws.FILTER(tabla_base[Rendimiento_por_hectarea_ton], tabla_base[tipo_cultivo]=tabla_base[[#This Row],[tipo_cultivo]]), 0.75)</f>
        <v>5.2079399999999998</v>
      </c>
      <c r="M663" s="7" t="str">
        <f>IF(tabla_base[[#This Row],[Rendimiento_por_hectarea_ton]]&gt;tabla_base[[#This Row],[percentil_0,75]],"Sí","No")</f>
        <v>No</v>
      </c>
      <c r="N663" s="3">
        <v>0.88</v>
      </c>
      <c r="O663" t="s">
        <v>26</v>
      </c>
    </row>
    <row r="664" spans="1:15" x14ac:dyDescent="0.35">
      <c r="A664" t="s">
        <v>698</v>
      </c>
      <c r="B664" t="s">
        <v>544</v>
      </c>
      <c r="C664" t="s">
        <v>30</v>
      </c>
      <c r="D664" t="s">
        <v>33</v>
      </c>
      <c r="E664" s="3">
        <v>34.72</v>
      </c>
      <c r="F664" s="3">
        <v>6.78</v>
      </c>
      <c r="G664" s="3">
        <v>26.66</v>
      </c>
      <c r="H664" s="4">
        <v>215.22</v>
      </c>
      <c r="I664" s="3">
        <v>68.760000000000005</v>
      </c>
      <c r="J664" t="s">
        <v>37</v>
      </c>
      <c r="K664" s="4">
        <v>6.2907299999999999</v>
      </c>
      <c r="L664" s="6" cm="1">
        <f t="array" ref="L664">_xlfn.PERCENTILE.INC(_xlfn._xlws.FILTER(tabla_base[Rendimiento_por_hectarea_ton], tabla_base[tipo_cultivo]=tabla_base[[#This Row],[tipo_cultivo]]), 0.75)</f>
        <v>5.1635450000000001</v>
      </c>
      <c r="M664" s="7" t="str">
        <f>IF(tabla_base[[#This Row],[Rendimiento_por_hectarea_ton]]&gt;tabla_base[[#This Row],[percentil_0,75]],"Sí","No")</f>
        <v>Sí</v>
      </c>
      <c r="N664" s="3">
        <v>0.81</v>
      </c>
      <c r="O664" t="s">
        <v>20</v>
      </c>
    </row>
    <row r="665" spans="1:15" x14ac:dyDescent="0.35">
      <c r="A665" t="s">
        <v>699</v>
      </c>
      <c r="B665" t="s">
        <v>22</v>
      </c>
      <c r="C665" t="s">
        <v>23</v>
      </c>
      <c r="D665" t="s">
        <v>24</v>
      </c>
      <c r="E665" s="3">
        <v>17.05</v>
      </c>
      <c r="F665" s="3">
        <v>6.16</v>
      </c>
      <c r="G665" s="3">
        <v>20.77</v>
      </c>
      <c r="H665" s="4">
        <v>278.69</v>
      </c>
      <c r="I665" s="3">
        <v>71.17</v>
      </c>
      <c r="J665" t="s">
        <v>19</v>
      </c>
      <c r="K665" s="4">
        <v>5.5665699999999996</v>
      </c>
      <c r="L665" s="6" cm="1">
        <f t="array" ref="L665">_xlfn.PERCENTILE.INC(_xlfn._xlws.FILTER(tabla_base[Rendimiento_por_hectarea_ton], tabla_base[tipo_cultivo]=tabla_base[[#This Row],[tipo_cultivo]]), 0.75)</f>
        <v>5.3984449999999997</v>
      </c>
      <c r="M665" s="7" t="str">
        <f>IF(tabla_base[[#This Row],[Rendimiento_por_hectarea_ton]]&gt;tabla_base[[#This Row],[percentil_0,75]],"Sí","No")</f>
        <v>Sí</v>
      </c>
      <c r="N665" s="3">
        <v>0.75</v>
      </c>
      <c r="O665" t="s">
        <v>26</v>
      </c>
    </row>
    <row r="666" spans="1:15" x14ac:dyDescent="0.35">
      <c r="A666" t="s">
        <v>700</v>
      </c>
      <c r="B666" t="s">
        <v>544</v>
      </c>
      <c r="C666" t="s">
        <v>30</v>
      </c>
      <c r="D666" t="s">
        <v>24</v>
      </c>
      <c r="E666" s="3">
        <v>22.32</v>
      </c>
      <c r="F666" s="3">
        <v>6.26</v>
      </c>
      <c r="G666" s="3">
        <v>29.51</v>
      </c>
      <c r="H666" s="4">
        <v>213.19</v>
      </c>
      <c r="I666" s="3">
        <v>77.739999999999995</v>
      </c>
      <c r="J666" t="s">
        <v>37</v>
      </c>
      <c r="K666" s="4">
        <v>6.2076200000000004</v>
      </c>
      <c r="L666" s="6" cm="1">
        <f t="array" ref="L666">_xlfn.PERCENTILE.INC(_xlfn._xlws.FILTER(tabla_base[Rendimiento_por_hectarea_ton], tabla_base[tipo_cultivo]=tabla_base[[#This Row],[tipo_cultivo]]), 0.75)</f>
        <v>5.3984449999999997</v>
      </c>
      <c r="M666" s="7" t="str">
        <f>IF(tabla_base[[#This Row],[Rendimiento_por_hectarea_ton]]&gt;tabla_base[[#This Row],[percentil_0,75]],"Sí","No")</f>
        <v>Sí</v>
      </c>
      <c r="N666" s="3">
        <v>0.52</v>
      </c>
      <c r="O666" t="s">
        <v>26</v>
      </c>
    </row>
    <row r="667" spans="1:15" x14ac:dyDescent="0.35">
      <c r="A667" t="s">
        <v>701</v>
      </c>
      <c r="B667" t="s">
        <v>16</v>
      </c>
      <c r="C667" t="s">
        <v>23</v>
      </c>
      <c r="D667" t="s">
        <v>24</v>
      </c>
      <c r="E667" s="3">
        <v>36.409999999999997</v>
      </c>
      <c r="F667" s="3">
        <v>5.84</v>
      </c>
      <c r="G667" s="3">
        <v>19.29</v>
      </c>
      <c r="H667" s="4">
        <v>198.41</v>
      </c>
      <c r="I667" s="3">
        <v>73.03</v>
      </c>
      <c r="J667" t="s">
        <v>25</v>
      </c>
      <c r="K667" s="4">
        <v>4.6734799999999996</v>
      </c>
      <c r="L667" s="6" cm="1">
        <f t="array" ref="L667">_xlfn.PERCENTILE.INC(_xlfn._xlws.FILTER(tabla_base[Rendimiento_por_hectarea_ton], tabla_base[tipo_cultivo]=tabla_base[[#This Row],[tipo_cultivo]]), 0.75)</f>
        <v>5.3984449999999997</v>
      </c>
      <c r="M667" s="7" t="str">
        <f>IF(tabla_base[[#This Row],[Rendimiento_por_hectarea_ton]]&gt;tabla_base[[#This Row],[percentil_0,75]],"Sí","No")</f>
        <v>No</v>
      </c>
      <c r="N667" s="3">
        <v>0.51</v>
      </c>
      <c r="O667" t="s">
        <v>19</v>
      </c>
    </row>
    <row r="668" spans="1:15" x14ac:dyDescent="0.35">
      <c r="A668" t="s">
        <v>702</v>
      </c>
      <c r="B668" t="s">
        <v>22</v>
      </c>
      <c r="C668" t="s">
        <v>23</v>
      </c>
      <c r="D668" t="s">
        <v>547</v>
      </c>
      <c r="E668" s="3">
        <v>33.869999999999997</v>
      </c>
      <c r="F668" s="3">
        <v>5.6</v>
      </c>
      <c r="G668" s="3">
        <v>18.75</v>
      </c>
      <c r="H668" s="4">
        <v>156.38</v>
      </c>
      <c r="I668" s="3">
        <v>74.2</v>
      </c>
      <c r="J668" t="s">
        <v>19</v>
      </c>
      <c r="K668" s="4">
        <v>3.6941999999999999</v>
      </c>
      <c r="L668" s="6" cm="1">
        <f t="array" ref="L668">_xlfn.PERCENTILE.INC(_xlfn._xlws.FILTER(tabla_base[Rendimiento_por_hectarea_ton], tabla_base[tipo_cultivo]=tabla_base[[#This Row],[tipo_cultivo]]), 0.75)</f>
        <v>5.2323700000000004</v>
      </c>
      <c r="M668" s="7" t="str">
        <f>IF(tabla_base[[#This Row],[Rendimiento_por_hectarea_ton]]&gt;tabla_base[[#This Row],[percentil_0,75]],"Sí","No")</f>
        <v>No</v>
      </c>
      <c r="N668" s="3">
        <v>0.62</v>
      </c>
      <c r="O668" t="s">
        <v>20</v>
      </c>
    </row>
    <row r="669" spans="1:15" x14ac:dyDescent="0.35">
      <c r="A669" t="s">
        <v>703</v>
      </c>
      <c r="B669" t="s">
        <v>16</v>
      </c>
      <c r="C669" t="s">
        <v>23</v>
      </c>
      <c r="D669" t="s">
        <v>547</v>
      </c>
      <c r="E669" s="3">
        <v>28.97</v>
      </c>
      <c r="F669" s="3">
        <v>6.97</v>
      </c>
      <c r="G669" s="3">
        <v>21.54</v>
      </c>
      <c r="H669" s="4">
        <v>176.54</v>
      </c>
      <c r="I669" s="3">
        <v>74.239999999999995</v>
      </c>
      <c r="J669" t="s">
        <v>28</v>
      </c>
      <c r="K669" s="4">
        <v>4.4553200000000004</v>
      </c>
      <c r="L669" s="6" cm="1">
        <f t="array" ref="L669">_xlfn.PERCENTILE.INC(_xlfn._xlws.FILTER(tabla_base[Rendimiento_por_hectarea_ton], tabla_base[tipo_cultivo]=tabla_base[[#This Row],[tipo_cultivo]]), 0.75)</f>
        <v>5.2323700000000004</v>
      </c>
      <c r="M669" s="7" t="str">
        <f>IF(tabla_base[[#This Row],[Rendimiento_por_hectarea_ton]]&gt;tabla_base[[#This Row],[percentil_0,75]],"Sí","No")</f>
        <v>No</v>
      </c>
      <c r="N669" s="3">
        <v>0.59</v>
      </c>
      <c r="O669" t="s">
        <v>20</v>
      </c>
    </row>
    <row r="670" spans="1:15" x14ac:dyDescent="0.35">
      <c r="A670" t="s">
        <v>704</v>
      </c>
      <c r="B670" t="s">
        <v>22</v>
      </c>
      <c r="C670" t="s">
        <v>40</v>
      </c>
      <c r="D670" t="s">
        <v>31</v>
      </c>
      <c r="E670" s="3">
        <v>30.89</v>
      </c>
      <c r="F670" s="3">
        <v>5.84</v>
      </c>
      <c r="G670" s="3">
        <v>28.93</v>
      </c>
      <c r="H670" s="4">
        <v>75.819999999999993</v>
      </c>
      <c r="I670" s="3">
        <v>53.42</v>
      </c>
      <c r="J670" t="s">
        <v>28</v>
      </c>
      <c r="K670" s="4">
        <v>3.7805399999999998</v>
      </c>
      <c r="L670" s="6" cm="1">
        <f t="array" ref="L670">_xlfn.PERCENTILE.INC(_xlfn._xlws.FILTER(tabla_base[Rendimiento_por_hectarea_ton], tabla_base[tipo_cultivo]=tabla_base[[#This Row],[tipo_cultivo]]), 0.75)</f>
        <v>5.1742550000000005</v>
      </c>
      <c r="M670" s="7" t="str">
        <f>IF(tabla_base[[#This Row],[Rendimiento_por_hectarea_ton]]&gt;tabla_base[[#This Row],[percentil_0,75]],"Sí","No")</f>
        <v>No</v>
      </c>
      <c r="N670" s="3">
        <v>0.86</v>
      </c>
      <c r="O670" t="s">
        <v>26</v>
      </c>
    </row>
    <row r="671" spans="1:15" x14ac:dyDescent="0.35">
      <c r="A671" t="s">
        <v>705</v>
      </c>
      <c r="B671" t="s">
        <v>22</v>
      </c>
      <c r="C671" t="s">
        <v>23</v>
      </c>
      <c r="D671" t="s">
        <v>35</v>
      </c>
      <c r="E671" s="3">
        <v>23.91</v>
      </c>
      <c r="F671" s="3">
        <v>6.02</v>
      </c>
      <c r="G671" s="3">
        <v>27.67</v>
      </c>
      <c r="H671" s="4">
        <v>123.81</v>
      </c>
      <c r="I671" s="3">
        <v>85.76</v>
      </c>
      <c r="J671" t="s">
        <v>28</v>
      </c>
      <c r="K671" s="4">
        <v>2.5979999999999999</v>
      </c>
      <c r="L671" s="6" cm="1">
        <f t="array" ref="L671">_xlfn.PERCENTILE.INC(_xlfn._xlws.FILTER(tabla_base[Rendimiento_por_hectarea_ton], tabla_base[tipo_cultivo]=tabla_base[[#This Row],[tipo_cultivo]]), 0.75)</f>
        <v>5.1318025</v>
      </c>
      <c r="M671" s="7" t="str">
        <f>IF(tabla_base[[#This Row],[Rendimiento_por_hectarea_ton]]&gt;tabla_base[[#This Row],[percentil_0,75]],"Sí","No")</f>
        <v>No</v>
      </c>
      <c r="N671" s="3">
        <v>0.84</v>
      </c>
      <c r="O671" t="s">
        <v>19</v>
      </c>
    </row>
    <row r="672" spans="1:15" x14ac:dyDescent="0.35">
      <c r="A672" t="s">
        <v>706</v>
      </c>
      <c r="B672" t="s">
        <v>16</v>
      </c>
      <c r="C672" t="s">
        <v>17</v>
      </c>
      <c r="D672" t="s">
        <v>24</v>
      </c>
      <c r="E672" s="3">
        <v>34.97</v>
      </c>
      <c r="F672" s="3">
        <v>5.88</v>
      </c>
      <c r="G672" s="3">
        <v>16.7</v>
      </c>
      <c r="H672" s="4">
        <v>102.91</v>
      </c>
      <c r="I672" s="3">
        <v>89.59</v>
      </c>
      <c r="J672" t="s">
        <v>28</v>
      </c>
      <c r="K672" s="4">
        <v>3.2486700000000002</v>
      </c>
      <c r="L672" s="6" cm="1">
        <f t="array" ref="L672">_xlfn.PERCENTILE.INC(_xlfn._xlws.FILTER(tabla_base[Rendimiento_por_hectarea_ton], tabla_base[tipo_cultivo]=tabla_base[[#This Row],[tipo_cultivo]]), 0.75)</f>
        <v>5.3984449999999997</v>
      </c>
      <c r="M672" s="7" t="str">
        <f>IF(tabla_base[[#This Row],[Rendimiento_por_hectarea_ton]]&gt;tabla_base[[#This Row],[percentil_0,75]],"Sí","No")</f>
        <v>No</v>
      </c>
      <c r="N672" s="3">
        <v>0.53</v>
      </c>
      <c r="O672" t="s">
        <v>19</v>
      </c>
    </row>
    <row r="673" spans="1:15" x14ac:dyDescent="0.35">
      <c r="A673" t="s">
        <v>707</v>
      </c>
      <c r="B673" t="s">
        <v>16</v>
      </c>
      <c r="C673" t="s">
        <v>40</v>
      </c>
      <c r="D673" t="s">
        <v>18</v>
      </c>
      <c r="E673" s="3">
        <v>24.63</v>
      </c>
      <c r="F673" s="3">
        <v>6.63</v>
      </c>
      <c r="G673" s="3">
        <v>32.76</v>
      </c>
      <c r="H673" s="4">
        <v>154.47999999999999</v>
      </c>
      <c r="I673" s="3">
        <v>71.930000000000007</v>
      </c>
      <c r="J673" t="s">
        <v>19</v>
      </c>
      <c r="K673" s="4">
        <v>4.6230799999999999</v>
      </c>
      <c r="L673" s="6" cm="1">
        <f t="array" ref="L673">_xlfn.PERCENTILE.INC(_xlfn._xlws.FILTER(tabla_base[Rendimiento_por_hectarea_ton], tabla_base[tipo_cultivo]=tabla_base[[#This Row],[tipo_cultivo]]), 0.75)</f>
        <v>5.2079399999999998</v>
      </c>
      <c r="M673" s="7" t="str">
        <f>IF(tabla_base[[#This Row],[Rendimiento_por_hectarea_ton]]&gt;tabla_base[[#This Row],[percentil_0,75]],"Sí","No")</f>
        <v>No</v>
      </c>
      <c r="N673" s="3">
        <v>0.52</v>
      </c>
      <c r="O673" t="s">
        <v>20</v>
      </c>
    </row>
    <row r="674" spans="1:15" x14ac:dyDescent="0.35">
      <c r="A674" t="s">
        <v>708</v>
      </c>
      <c r="B674" t="s">
        <v>22</v>
      </c>
      <c r="C674" t="s">
        <v>23</v>
      </c>
      <c r="D674" t="s">
        <v>547</v>
      </c>
      <c r="E674" s="3">
        <v>27.57</v>
      </c>
      <c r="F674" s="3">
        <v>5.85</v>
      </c>
      <c r="G674" s="3">
        <v>34.75</v>
      </c>
      <c r="H674" s="4">
        <v>116.68</v>
      </c>
      <c r="I674" s="3">
        <v>50.73</v>
      </c>
      <c r="J674" t="s">
        <v>28</v>
      </c>
      <c r="K674" s="4">
        <v>3.1025200000000002</v>
      </c>
      <c r="L674" s="6" cm="1">
        <f t="array" ref="L674">_xlfn.PERCENTILE.INC(_xlfn._xlws.FILTER(tabla_base[Rendimiento_por_hectarea_ton], tabla_base[tipo_cultivo]=tabla_base[[#This Row],[tipo_cultivo]]), 0.75)</f>
        <v>5.2323700000000004</v>
      </c>
      <c r="M674" s="7" t="str">
        <f>IF(tabla_base[[#This Row],[Rendimiento_por_hectarea_ton]]&gt;tabla_base[[#This Row],[percentil_0,75]],"Sí","No")</f>
        <v>No</v>
      </c>
      <c r="N674" s="3">
        <v>0.62</v>
      </c>
      <c r="O674" t="s">
        <v>26</v>
      </c>
    </row>
    <row r="675" spans="1:15" x14ac:dyDescent="0.35">
      <c r="A675" t="s">
        <v>709</v>
      </c>
      <c r="B675" t="s">
        <v>16</v>
      </c>
      <c r="C675" t="s">
        <v>40</v>
      </c>
      <c r="D675" t="s">
        <v>18</v>
      </c>
      <c r="E675" s="3">
        <v>18.600000000000001</v>
      </c>
      <c r="F675" s="3">
        <v>5.59</v>
      </c>
      <c r="G675" s="3">
        <v>16.510000000000002</v>
      </c>
      <c r="H675" s="4">
        <v>96.2</v>
      </c>
      <c r="I675" s="3">
        <v>72.709999999999994</v>
      </c>
      <c r="J675" t="s">
        <v>37</v>
      </c>
      <c r="K675" s="4">
        <v>5.5146199999999999</v>
      </c>
      <c r="L675" s="6" cm="1">
        <f t="array" ref="L675">_xlfn.PERCENTILE.INC(_xlfn._xlws.FILTER(tabla_base[Rendimiento_por_hectarea_ton], tabla_base[tipo_cultivo]=tabla_base[[#This Row],[tipo_cultivo]]), 0.75)</f>
        <v>5.2079399999999998</v>
      </c>
      <c r="M675" s="7" t="str">
        <f>IF(tabla_base[[#This Row],[Rendimiento_por_hectarea_ton]]&gt;tabla_base[[#This Row],[percentil_0,75]],"Sí","No")</f>
        <v>Sí</v>
      </c>
      <c r="N675" s="3">
        <v>0.71</v>
      </c>
      <c r="O675" t="s">
        <v>20</v>
      </c>
    </row>
    <row r="676" spans="1:15" x14ac:dyDescent="0.35">
      <c r="A676" t="s">
        <v>710</v>
      </c>
      <c r="B676" t="s">
        <v>544</v>
      </c>
      <c r="C676" t="s">
        <v>23</v>
      </c>
      <c r="D676" t="s">
        <v>18</v>
      </c>
      <c r="E676" s="3">
        <v>24.2</v>
      </c>
      <c r="F676" s="3">
        <v>6.08</v>
      </c>
      <c r="G676" s="3">
        <v>22.86</v>
      </c>
      <c r="H676" s="4">
        <v>237.37</v>
      </c>
      <c r="I676" s="3">
        <v>64.86</v>
      </c>
      <c r="J676" t="s">
        <v>25</v>
      </c>
      <c r="K676" s="4">
        <v>4.7924600000000002</v>
      </c>
      <c r="L676" s="6" cm="1">
        <f t="array" ref="L676">_xlfn.PERCENTILE.INC(_xlfn._xlws.FILTER(tabla_base[Rendimiento_por_hectarea_ton], tabla_base[tipo_cultivo]=tabla_base[[#This Row],[tipo_cultivo]]), 0.75)</f>
        <v>5.2079399999999998</v>
      </c>
      <c r="M676" s="7" t="str">
        <f>IF(tabla_base[[#This Row],[Rendimiento_por_hectarea_ton]]&gt;tabla_base[[#This Row],[percentil_0,75]],"Sí","No")</f>
        <v>No</v>
      </c>
      <c r="N676" s="3">
        <v>0.87</v>
      </c>
      <c r="O676" t="s">
        <v>20</v>
      </c>
    </row>
    <row r="677" spans="1:15" x14ac:dyDescent="0.35">
      <c r="A677" t="s">
        <v>711</v>
      </c>
      <c r="B677" t="s">
        <v>16</v>
      </c>
      <c r="C677" t="s">
        <v>17</v>
      </c>
      <c r="D677" t="s">
        <v>35</v>
      </c>
      <c r="E677" s="3">
        <v>34</v>
      </c>
      <c r="F677" s="3">
        <v>5.52</v>
      </c>
      <c r="G677" s="3">
        <v>31.4</v>
      </c>
      <c r="H677" s="4">
        <v>282.38</v>
      </c>
      <c r="I677" s="3">
        <v>67.099999999999994</v>
      </c>
      <c r="J677" t="s">
        <v>25</v>
      </c>
      <c r="K677" s="4">
        <v>4.0742200000000004</v>
      </c>
      <c r="L677" s="6" cm="1">
        <f t="array" ref="L677">_xlfn.PERCENTILE.INC(_xlfn._xlws.FILTER(tabla_base[Rendimiento_por_hectarea_ton], tabla_base[tipo_cultivo]=tabla_base[[#This Row],[tipo_cultivo]]), 0.75)</f>
        <v>5.1318025</v>
      </c>
      <c r="M677" s="7" t="str">
        <f>IF(tabla_base[[#This Row],[Rendimiento_por_hectarea_ton]]&gt;tabla_base[[#This Row],[percentil_0,75]],"Sí","No")</f>
        <v>No</v>
      </c>
      <c r="N677" s="3">
        <v>0.62</v>
      </c>
      <c r="O677" t="s">
        <v>20</v>
      </c>
    </row>
    <row r="678" spans="1:15" x14ac:dyDescent="0.35">
      <c r="A678" t="s">
        <v>712</v>
      </c>
      <c r="B678" t="s">
        <v>16</v>
      </c>
      <c r="C678" t="s">
        <v>23</v>
      </c>
      <c r="D678" t="s">
        <v>547</v>
      </c>
      <c r="E678" s="3">
        <v>25.67</v>
      </c>
      <c r="F678" s="3">
        <v>5.98</v>
      </c>
      <c r="G678" s="3">
        <v>26.43</v>
      </c>
      <c r="H678" s="4">
        <v>201.3</v>
      </c>
      <c r="I678" s="3">
        <v>72.02</v>
      </c>
      <c r="J678" t="s">
        <v>28</v>
      </c>
      <c r="K678" s="4">
        <v>5.3824300000000003</v>
      </c>
      <c r="L678" s="6" cm="1">
        <f t="array" ref="L678">_xlfn.PERCENTILE.INC(_xlfn._xlws.FILTER(tabla_base[Rendimiento_por_hectarea_ton], tabla_base[tipo_cultivo]=tabla_base[[#This Row],[tipo_cultivo]]), 0.75)</f>
        <v>5.2323700000000004</v>
      </c>
      <c r="M678" s="7" t="str">
        <f>IF(tabla_base[[#This Row],[Rendimiento_por_hectarea_ton]]&gt;tabla_base[[#This Row],[percentil_0,75]],"Sí","No")</f>
        <v>Sí</v>
      </c>
      <c r="N678" s="3">
        <v>0.54</v>
      </c>
      <c r="O678" t="s">
        <v>20</v>
      </c>
    </row>
    <row r="679" spans="1:15" x14ac:dyDescent="0.35">
      <c r="A679" t="s">
        <v>713</v>
      </c>
      <c r="B679" t="s">
        <v>16</v>
      </c>
      <c r="C679" t="s">
        <v>23</v>
      </c>
      <c r="D679" t="s">
        <v>547</v>
      </c>
      <c r="E679" s="3">
        <v>35.450000000000003</v>
      </c>
      <c r="F679" s="3">
        <v>6.66</v>
      </c>
      <c r="G679" s="3">
        <v>27.47</v>
      </c>
      <c r="H679" s="4">
        <v>138.27000000000001</v>
      </c>
      <c r="I679" s="3">
        <v>59.91</v>
      </c>
      <c r="J679" t="s">
        <v>19</v>
      </c>
      <c r="K679" s="4">
        <v>5.5019200000000001</v>
      </c>
      <c r="L679" s="6" cm="1">
        <f t="array" ref="L679">_xlfn.PERCENTILE.INC(_xlfn._xlws.FILTER(tabla_base[Rendimiento_por_hectarea_ton], tabla_base[tipo_cultivo]=tabla_base[[#This Row],[tipo_cultivo]]), 0.75)</f>
        <v>5.2323700000000004</v>
      </c>
      <c r="M679" s="7" t="str">
        <f>IF(tabla_base[[#This Row],[Rendimiento_por_hectarea_ton]]&gt;tabla_base[[#This Row],[percentil_0,75]],"Sí","No")</f>
        <v>Sí</v>
      </c>
      <c r="N679" s="3">
        <v>0.88</v>
      </c>
      <c r="O679" t="s">
        <v>20</v>
      </c>
    </row>
    <row r="680" spans="1:15" x14ac:dyDescent="0.35">
      <c r="A680" t="s">
        <v>714</v>
      </c>
      <c r="B680" t="s">
        <v>22</v>
      </c>
      <c r="C680" t="s">
        <v>17</v>
      </c>
      <c r="D680" t="s">
        <v>35</v>
      </c>
      <c r="E680" s="3">
        <v>30.48</v>
      </c>
      <c r="F680" s="3">
        <v>6.28</v>
      </c>
      <c r="G680" s="3">
        <v>15.71</v>
      </c>
      <c r="H680" s="4">
        <v>137.31</v>
      </c>
      <c r="I680" s="3">
        <v>69.67</v>
      </c>
      <c r="J680" t="s">
        <v>37</v>
      </c>
      <c r="K680" s="4">
        <v>4.0665899999999997</v>
      </c>
      <c r="L680" s="6" cm="1">
        <f t="array" ref="L680">_xlfn.PERCENTILE.INC(_xlfn._xlws.FILTER(tabla_base[Rendimiento_por_hectarea_ton], tabla_base[tipo_cultivo]=tabla_base[[#This Row],[tipo_cultivo]]), 0.75)</f>
        <v>5.1318025</v>
      </c>
      <c r="M680" s="7" t="str">
        <f>IF(tabla_base[[#This Row],[Rendimiento_por_hectarea_ton]]&gt;tabla_base[[#This Row],[percentil_0,75]],"Sí","No")</f>
        <v>No</v>
      </c>
      <c r="N680" s="3">
        <v>0.59</v>
      </c>
      <c r="O680" t="s">
        <v>19</v>
      </c>
    </row>
    <row r="681" spans="1:15" x14ac:dyDescent="0.35">
      <c r="A681" t="s">
        <v>715</v>
      </c>
      <c r="B681" t="s">
        <v>22</v>
      </c>
      <c r="C681" t="s">
        <v>40</v>
      </c>
      <c r="D681" t="s">
        <v>31</v>
      </c>
      <c r="E681" s="3">
        <v>26.91</v>
      </c>
      <c r="F681" s="3">
        <v>7</v>
      </c>
      <c r="G681" s="3">
        <v>31.94</v>
      </c>
      <c r="H681" s="4">
        <v>173.07</v>
      </c>
      <c r="I681" s="3">
        <v>61.76</v>
      </c>
      <c r="J681" t="s">
        <v>37</v>
      </c>
      <c r="K681" s="4">
        <v>2.98922</v>
      </c>
      <c r="L681" s="6" cm="1">
        <f t="array" ref="L681">_xlfn.PERCENTILE.INC(_xlfn._xlws.FILTER(tabla_base[Rendimiento_por_hectarea_ton], tabla_base[tipo_cultivo]=tabla_base[[#This Row],[tipo_cultivo]]), 0.75)</f>
        <v>5.1742550000000005</v>
      </c>
      <c r="M681" s="7" t="str">
        <f>IF(tabla_base[[#This Row],[Rendimiento_por_hectarea_ton]]&gt;tabla_base[[#This Row],[percentil_0,75]],"Sí","No")</f>
        <v>No</v>
      </c>
      <c r="N681" s="3">
        <v>0.73</v>
      </c>
      <c r="O681" t="s">
        <v>19</v>
      </c>
    </row>
    <row r="682" spans="1:15" x14ac:dyDescent="0.35">
      <c r="A682" t="s">
        <v>716</v>
      </c>
      <c r="B682" t="s">
        <v>16</v>
      </c>
      <c r="C682" t="s">
        <v>23</v>
      </c>
      <c r="D682" t="s">
        <v>18</v>
      </c>
      <c r="E682" s="3">
        <v>37.21</v>
      </c>
      <c r="F682" s="3">
        <v>6.24</v>
      </c>
      <c r="G682" s="3">
        <v>16.09</v>
      </c>
      <c r="H682" s="4">
        <v>253.63</v>
      </c>
      <c r="I682" s="3">
        <v>72.239999999999995</v>
      </c>
      <c r="J682" t="s">
        <v>28</v>
      </c>
      <c r="K682" s="4">
        <v>5.4920400000000003</v>
      </c>
      <c r="L682" s="6" cm="1">
        <f t="array" ref="L682">_xlfn.PERCENTILE.INC(_xlfn._xlws.FILTER(tabla_base[Rendimiento_por_hectarea_ton], tabla_base[tipo_cultivo]=tabla_base[[#This Row],[tipo_cultivo]]), 0.75)</f>
        <v>5.2079399999999998</v>
      </c>
      <c r="M682" s="7" t="str">
        <f>IF(tabla_base[[#This Row],[Rendimiento_por_hectarea_ton]]&gt;tabla_base[[#This Row],[percentil_0,75]],"Sí","No")</f>
        <v>Sí</v>
      </c>
      <c r="N682" s="3">
        <v>0.69</v>
      </c>
      <c r="O682" t="s">
        <v>20</v>
      </c>
    </row>
    <row r="683" spans="1:15" x14ac:dyDescent="0.35">
      <c r="A683" t="s">
        <v>717</v>
      </c>
      <c r="B683" t="s">
        <v>22</v>
      </c>
      <c r="C683" t="s">
        <v>17</v>
      </c>
      <c r="D683" t="s">
        <v>35</v>
      </c>
      <c r="E683" s="3">
        <v>18.149999999999999</v>
      </c>
      <c r="F683" s="3">
        <v>7.29</v>
      </c>
      <c r="G683" s="3">
        <v>25.25</v>
      </c>
      <c r="H683" s="4">
        <v>259.38</v>
      </c>
      <c r="I683" s="3">
        <v>85.62</v>
      </c>
      <c r="J683" t="s">
        <v>19</v>
      </c>
      <c r="K683" s="4">
        <v>5.1304100000000004</v>
      </c>
      <c r="L683" s="6" cm="1">
        <f t="array" ref="L683">_xlfn.PERCENTILE.INC(_xlfn._xlws.FILTER(tabla_base[Rendimiento_por_hectarea_ton], tabla_base[tipo_cultivo]=tabla_base[[#This Row],[tipo_cultivo]]), 0.75)</f>
        <v>5.1318025</v>
      </c>
      <c r="M683" s="7" t="str">
        <f>IF(tabla_base[[#This Row],[Rendimiento_por_hectarea_ton]]&gt;tabla_base[[#This Row],[percentil_0,75]],"Sí","No")</f>
        <v>No</v>
      </c>
      <c r="N683" s="3">
        <v>0.6</v>
      </c>
      <c r="O683" t="s">
        <v>19</v>
      </c>
    </row>
    <row r="684" spans="1:15" x14ac:dyDescent="0.35">
      <c r="A684" t="s">
        <v>718</v>
      </c>
      <c r="B684" t="s">
        <v>22</v>
      </c>
      <c r="C684" t="s">
        <v>40</v>
      </c>
      <c r="D684" t="s">
        <v>547</v>
      </c>
      <c r="E684" s="3">
        <v>20.68</v>
      </c>
      <c r="F684" s="3">
        <v>7.1</v>
      </c>
      <c r="G684" s="3">
        <v>17.600000000000001</v>
      </c>
      <c r="H684" s="4">
        <v>242.19</v>
      </c>
      <c r="I684" s="3">
        <v>76.75</v>
      </c>
      <c r="J684" t="s">
        <v>37</v>
      </c>
      <c r="K684" s="4">
        <v>4.3444500000000001</v>
      </c>
      <c r="L684" s="6" cm="1">
        <f t="array" ref="L684">_xlfn.PERCENTILE.INC(_xlfn._xlws.FILTER(tabla_base[Rendimiento_por_hectarea_ton], tabla_base[tipo_cultivo]=tabla_base[[#This Row],[tipo_cultivo]]), 0.75)</f>
        <v>5.2323700000000004</v>
      </c>
      <c r="M684" s="7" t="str">
        <f>IF(tabla_base[[#This Row],[Rendimiento_por_hectarea_ton]]&gt;tabla_base[[#This Row],[percentil_0,75]],"Sí","No")</f>
        <v>No</v>
      </c>
      <c r="N684" s="3">
        <v>0.59</v>
      </c>
      <c r="O684" t="s">
        <v>26</v>
      </c>
    </row>
    <row r="685" spans="1:15" x14ac:dyDescent="0.35">
      <c r="A685" t="s">
        <v>719</v>
      </c>
      <c r="B685" t="s">
        <v>16</v>
      </c>
      <c r="C685" t="s">
        <v>23</v>
      </c>
      <c r="D685" t="s">
        <v>547</v>
      </c>
      <c r="E685" s="3">
        <v>38</v>
      </c>
      <c r="F685" s="3">
        <v>5.89</v>
      </c>
      <c r="G685" s="3">
        <v>30.16</v>
      </c>
      <c r="H685" s="4">
        <v>141.53</v>
      </c>
      <c r="I685" s="3">
        <v>87.41</v>
      </c>
      <c r="J685" t="s">
        <v>28</v>
      </c>
      <c r="K685" s="4">
        <v>3.32762</v>
      </c>
      <c r="L685" s="6" cm="1">
        <f t="array" ref="L685">_xlfn.PERCENTILE.INC(_xlfn._xlws.FILTER(tabla_base[Rendimiento_por_hectarea_ton], tabla_base[tipo_cultivo]=tabla_base[[#This Row],[tipo_cultivo]]), 0.75)</f>
        <v>5.2323700000000004</v>
      </c>
      <c r="M685" s="7" t="str">
        <f>IF(tabla_base[[#This Row],[Rendimiento_por_hectarea_ton]]&gt;tabla_base[[#This Row],[percentil_0,75]],"Sí","No")</f>
        <v>No</v>
      </c>
      <c r="N685" s="3">
        <v>0.71</v>
      </c>
      <c r="O685" t="s">
        <v>26</v>
      </c>
    </row>
    <row r="686" spans="1:15" x14ac:dyDescent="0.35">
      <c r="A686" t="s">
        <v>720</v>
      </c>
      <c r="B686" t="s">
        <v>16</v>
      </c>
      <c r="C686" t="s">
        <v>30</v>
      </c>
      <c r="D686" t="s">
        <v>547</v>
      </c>
      <c r="E686" s="3">
        <v>23.91</v>
      </c>
      <c r="F686" s="3">
        <v>6.48</v>
      </c>
      <c r="G686" s="3">
        <v>33.6</v>
      </c>
      <c r="H686" s="4">
        <v>181.47</v>
      </c>
      <c r="I686" s="3">
        <v>70.349999999999994</v>
      </c>
      <c r="J686" t="s">
        <v>19</v>
      </c>
      <c r="K686" s="4">
        <v>2.8077100000000002</v>
      </c>
      <c r="L686" s="6" cm="1">
        <f t="array" ref="L686">_xlfn.PERCENTILE.INC(_xlfn._xlws.FILTER(tabla_base[Rendimiento_por_hectarea_ton], tabla_base[tipo_cultivo]=tabla_base[[#This Row],[tipo_cultivo]]), 0.75)</f>
        <v>5.2323700000000004</v>
      </c>
      <c r="M686" s="7" t="str">
        <f>IF(tabla_base[[#This Row],[Rendimiento_por_hectarea_ton]]&gt;tabla_base[[#This Row],[percentil_0,75]],"Sí","No")</f>
        <v>No</v>
      </c>
      <c r="N686" s="3">
        <v>0.68</v>
      </c>
      <c r="O686" t="s">
        <v>26</v>
      </c>
    </row>
    <row r="687" spans="1:15" x14ac:dyDescent="0.35">
      <c r="A687" t="s">
        <v>721</v>
      </c>
      <c r="B687" t="s">
        <v>22</v>
      </c>
      <c r="C687" t="s">
        <v>17</v>
      </c>
      <c r="D687" t="s">
        <v>24</v>
      </c>
      <c r="E687" s="3">
        <v>22.03</v>
      </c>
      <c r="F687" s="3">
        <v>5.98</v>
      </c>
      <c r="G687" s="3">
        <v>15.9</v>
      </c>
      <c r="H687" s="4">
        <v>96.31</v>
      </c>
      <c r="I687" s="3">
        <v>50.13</v>
      </c>
      <c r="J687" t="s">
        <v>28</v>
      </c>
      <c r="K687" s="4">
        <v>6.1645099999999999</v>
      </c>
      <c r="L687" s="6" cm="1">
        <f t="array" ref="L687">_xlfn.PERCENTILE.INC(_xlfn._xlws.FILTER(tabla_base[Rendimiento_por_hectarea_ton], tabla_base[tipo_cultivo]=tabla_base[[#This Row],[tipo_cultivo]]), 0.75)</f>
        <v>5.3984449999999997</v>
      </c>
      <c r="M687" s="7" t="str">
        <f>IF(tabla_base[[#This Row],[Rendimiento_por_hectarea_ton]]&gt;tabla_base[[#This Row],[percentil_0,75]],"Sí","No")</f>
        <v>Sí</v>
      </c>
      <c r="N687" s="3">
        <v>0.63</v>
      </c>
      <c r="O687" t="s">
        <v>19</v>
      </c>
    </row>
    <row r="688" spans="1:15" x14ac:dyDescent="0.35">
      <c r="A688" t="s">
        <v>722</v>
      </c>
      <c r="B688" t="s">
        <v>22</v>
      </c>
      <c r="C688" t="s">
        <v>17</v>
      </c>
      <c r="D688" t="s">
        <v>24</v>
      </c>
      <c r="E688" s="3">
        <v>38.36</v>
      </c>
      <c r="F688" s="3">
        <v>6.42</v>
      </c>
      <c r="G688" s="3">
        <v>25.55</v>
      </c>
      <c r="H688" s="4">
        <v>109.79</v>
      </c>
      <c r="I688" s="3">
        <v>56.71</v>
      </c>
      <c r="J688" t="s">
        <v>37</v>
      </c>
      <c r="K688" s="4">
        <v>2.9512999999999998</v>
      </c>
      <c r="L688" s="6" cm="1">
        <f t="array" ref="L688">_xlfn.PERCENTILE.INC(_xlfn._xlws.FILTER(tabla_base[Rendimiento_por_hectarea_ton], tabla_base[tipo_cultivo]=tabla_base[[#This Row],[tipo_cultivo]]), 0.75)</f>
        <v>5.3984449999999997</v>
      </c>
      <c r="M688" s="7" t="str">
        <f>IF(tabla_base[[#This Row],[Rendimiento_por_hectarea_ton]]&gt;tabla_base[[#This Row],[percentil_0,75]],"Sí","No")</f>
        <v>No</v>
      </c>
      <c r="N688" s="3">
        <v>0.79</v>
      </c>
      <c r="O688" t="s">
        <v>19</v>
      </c>
    </row>
    <row r="689" spans="1:15" x14ac:dyDescent="0.35">
      <c r="A689" t="s">
        <v>723</v>
      </c>
      <c r="B689" t="s">
        <v>16</v>
      </c>
      <c r="C689" t="s">
        <v>30</v>
      </c>
      <c r="D689" t="s">
        <v>33</v>
      </c>
      <c r="E689" s="3">
        <v>25.91</v>
      </c>
      <c r="F689" s="3">
        <v>5.97</v>
      </c>
      <c r="G689" s="3">
        <v>26.42</v>
      </c>
      <c r="H689" s="4">
        <v>246.66</v>
      </c>
      <c r="I689" s="3">
        <v>55.98</v>
      </c>
      <c r="J689" t="s">
        <v>19</v>
      </c>
      <c r="K689" s="4">
        <v>4.9168200000000004</v>
      </c>
      <c r="L689" s="6" cm="1">
        <f t="array" ref="L689">_xlfn.PERCENTILE.INC(_xlfn._xlws.FILTER(tabla_base[Rendimiento_por_hectarea_ton], tabla_base[tipo_cultivo]=tabla_base[[#This Row],[tipo_cultivo]]), 0.75)</f>
        <v>5.1635450000000001</v>
      </c>
      <c r="M689" s="7" t="str">
        <f>IF(tabla_base[[#This Row],[Rendimiento_por_hectarea_ton]]&gt;tabla_base[[#This Row],[percentil_0,75]],"Sí","No")</f>
        <v>No</v>
      </c>
      <c r="N689" s="3">
        <v>0.55000000000000004</v>
      </c>
      <c r="O689" t="s">
        <v>26</v>
      </c>
    </row>
    <row r="690" spans="1:15" x14ac:dyDescent="0.35">
      <c r="A690" t="s">
        <v>724</v>
      </c>
      <c r="B690" t="s">
        <v>22</v>
      </c>
      <c r="C690" t="s">
        <v>17</v>
      </c>
      <c r="D690" t="s">
        <v>547</v>
      </c>
      <c r="E690" s="3">
        <v>16.489999999999998</v>
      </c>
      <c r="F690" s="3">
        <v>5.74</v>
      </c>
      <c r="G690" s="3">
        <v>23.73</v>
      </c>
      <c r="H690" s="4">
        <v>262.10000000000002</v>
      </c>
      <c r="I690" s="3">
        <v>69.430000000000007</v>
      </c>
      <c r="J690" t="s">
        <v>37</v>
      </c>
      <c r="K690" s="4">
        <v>3.3103899999999999</v>
      </c>
      <c r="L690" s="6" cm="1">
        <f t="array" ref="L690">_xlfn.PERCENTILE.INC(_xlfn._xlws.FILTER(tabla_base[Rendimiento_por_hectarea_ton], tabla_base[tipo_cultivo]=tabla_base[[#This Row],[tipo_cultivo]]), 0.75)</f>
        <v>5.2323700000000004</v>
      </c>
      <c r="M690" s="7" t="str">
        <f>IF(tabla_base[[#This Row],[Rendimiento_por_hectarea_ton]]&gt;tabla_base[[#This Row],[percentil_0,75]],"Sí","No")</f>
        <v>No</v>
      </c>
      <c r="N690" s="3">
        <v>0.61</v>
      </c>
      <c r="O690" t="s">
        <v>20</v>
      </c>
    </row>
    <row r="691" spans="1:15" x14ac:dyDescent="0.35">
      <c r="A691" t="s">
        <v>725</v>
      </c>
      <c r="B691" t="s">
        <v>22</v>
      </c>
      <c r="C691" t="s">
        <v>17</v>
      </c>
      <c r="D691" t="s">
        <v>547</v>
      </c>
      <c r="E691" s="3">
        <v>37.96</v>
      </c>
      <c r="F691" s="3">
        <v>6.71</v>
      </c>
      <c r="G691" s="3">
        <v>31.1</v>
      </c>
      <c r="H691" s="4">
        <v>76.86</v>
      </c>
      <c r="I691" s="3">
        <v>55.09</v>
      </c>
      <c r="J691" t="s">
        <v>28</v>
      </c>
      <c r="K691" s="4">
        <v>3.3820600000000001</v>
      </c>
      <c r="L691" s="6" cm="1">
        <f t="array" ref="L691">_xlfn.PERCENTILE.INC(_xlfn._xlws.FILTER(tabla_base[Rendimiento_por_hectarea_ton], tabla_base[tipo_cultivo]=tabla_base[[#This Row],[tipo_cultivo]]), 0.75)</f>
        <v>5.2323700000000004</v>
      </c>
      <c r="M691" s="7" t="str">
        <f>IF(tabla_base[[#This Row],[Rendimiento_por_hectarea_ton]]&gt;tabla_base[[#This Row],[percentil_0,75]],"Sí","No")</f>
        <v>No</v>
      </c>
      <c r="N691" s="3">
        <v>0.51</v>
      </c>
      <c r="O691" t="s">
        <v>26</v>
      </c>
    </row>
    <row r="692" spans="1:15" x14ac:dyDescent="0.35">
      <c r="A692" t="s">
        <v>726</v>
      </c>
      <c r="B692" t="s">
        <v>544</v>
      </c>
      <c r="C692" t="s">
        <v>23</v>
      </c>
      <c r="D692" t="s">
        <v>31</v>
      </c>
      <c r="E692" s="3">
        <v>26.87</v>
      </c>
      <c r="F692" s="3">
        <v>6.11</v>
      </c>
      <c r="G692" s="3">
        <v>20.53</v>
      </c>
      <c r="H692" s="4">
        <v>86.13</v>
      </c>
      <c r="I692" s="3">
        <v>76.760000000000005</v>
      </c>
      <c r="J692" t="s">
        <v>37</v>
      </c>
      <c r="K692" s="4">
        <v>3.7189800000000002</v>
      </c>
      <c r="L692" s="6" cm="1">
        <f t="array" ref="L692">_xlfn.PERCENTILE.INC(_xlfn._xlws.FILTER(tabla_base[Rendimiento_por_hectarea_ton], tabla_base[tipo_cultivo]=tabla_base[[#This Row],[tipo_cultivo]]), 0.75)</f>
        <v>5.1742550000000005</v>
      </c>
      <c r="M692" s="7" t="str">
        <f>IF(tabla_base[[#This Row],[Rendimiento_por_hectarea_ton]]&gt;tabla_base[[#This Row],[percentil_0,75]],"Sí","No")</f>
        <v>No</v>
      </c>
      <c r="N692" s="3">
        <v>0.71</v>
      </c>
      <c r="O692" t="s">
        <v>20</v>
      </c>
    </row>
    <row r="693" spans="1:15" x14ac:dyDescent="0.35">
      <c r="A693" t="s">
        <v>727</v>
      </c>
      <c r="B693" t="s">
        <v>544</v>
      </c>
      <c r="C693" t="s">
        <v>30</v>
      </c>
      <c r="D693" t="s">
        <v>24</v>
      </c>
      <c r="E693" s="3">
        <v>21.28</v>
      </c>
      <c r="F693" s="3">
        <v>6.52</v>
      </c>
      <c r="G693" s="3">
        <v>25.98</v>
      </c>
      <c r="H693" s="4">
        <v>249.66</v>
      </c>
      <c r="I693" s="3">
        <v>63.31</v>
      </c>
      <c r="J693" t="s">
        <v>19</v>
      </c>
      <c r="K693" s="4">
        <v>6.3060499999999999</v>
      </c>
      <c r="L693" s="6" cm="1">
        <f t="array" ref="L693">_xlfn.PERCENTILE.INC(_xlfn._xlws.FILTER(tabla_base[Rendimiento_por_hectarea_ton], tabla_base[tipo_cultivo]=tabla_base[[#This Row],[tipo_cultivo]]), 0.75)</f>
        <v>5.3984449999999997</v>
      </c>
      <c r="M693" s="7" t="str">
        <f>IF(tabla_base[[#This Row],[Rendimiento_por_hectarea_ton]]&gt;tabla_base[[#This Row],[percentil_0,75]],"Sí","No")</f>
        <v>Sí</v>
      </c>
      <c r="N693" s="3">
        <v>0.78</v>
      </c>
      <c r="O693" t="s">
        <v>26</v>
      </c>
    </row>
    <row r="694" spans="1:15" x14ac:dyDescent="0.35">
      <c r="A694" t="s">
        <v>728</v>
      </c>
      <c r="B694" t="s">
        <v>22</v>
      </c>
      <c r="C694" t="s">
        <v>23</v>
      </c>
      <c r="D694" t="s">
        <v>547</v>
      </c>
      <c r="E694" s="3">
        <v>30.44</v>
      </c>
      <c r="F694" s="3">
        <v>6.32</v>
      </c>
      <c r="G694" s="3">
        <v>18.149999999999999</v>
      </c>
      <c r="H694" s="4">
        <v>62.95</v>
      </c>
      <c r="I694" s="3">
        <v>75.77</v>
      </c>
      <c r="J694" t="s">
        <v>37</v>
      </c>
      <c r="K694" s="4">
        <v>3.4516</v>
      </c>
      <c r="L694" s="6" cm="1">
        <f t="array" ref="L694">_xlfn.PERCENTILE.INC(_xlfn._xlws.FILTER(tabla_base[Rendimiento_por_hectarea_ton], tabla_base[tipo_cultivo]=tabla_base[[#This Row],[tipo_cultivo]]), 0.75)</f>
        <v>5.2323700000000004</v>
      </c>
      <c r="M694" s="7" t="str">
        <f>IF(tabla_base[[#This Row],[Rendimiento_por_hectarea_ton]]&gt;tabla_base[[#This Row],[percentil_0,75]],"Sí","No")</f>
        <v>No</v>
      </c>
      <c r="N694" s="3">
        <v>0.75</v>
      </c>
      <c r="O694" t="s">
        <v>19</v>
      </c>
    </row>
    <row r="695" spans="1:15" x14ac:dyDescent="0.35">
      <c r="A695" t="s">
        <v>729</v>
      </c>
      <c r="B695" t="s">
        <v>22</v>
      </c>
      <c r="C695" t="s">
        <v>17</v>
      </c>
      <c r="D695" t="s">
        <v>547</v>
      </c>
      <c r="E695" s="3">
        <v>29.5</v>
      </c>
      <c r="F695" s="3">
        <v>5.82</v>
      </c>
      <c r="G695" s="3">
        <v>34.74</v>
      </c>
      <c r="H695" s="4">
        <v>260.61</v>
      </c>
      <c r="I695" s="3">
        <v>89.09</v>
      </c>
      <c r="J695" t="s">
        <v>25</v>
      </c>
      <c r="K695" s="4">
        <v>3.7015600000000002</v>
      </c>
      <c r="L695" s="6" cm="1">
        <f t="array" ref="L695">_xlfn.PERCENTILE.INC(_xlfn._xlws.FILTER(tabla_base[Rendimiento_por_hectarea_ton], tabla_base[tipo_cultivo]=tabla_base[[#This Row],[tipo_cultivo]]), 0.75)</f>
        <v>5.2323700000000004</v>
      </c>
      <c r="M695" s="7" t="str">
        <f>IF(tabla_base[[#This Row],[Rendimiento_por_hectarea_ton]]&gt;tabla_base[[#This Row],[percentil_0,75]],"Sí","No")</f>
        <v>No</v>
      </c>
      <c r="N695" s="3">
        <v>0.71</v>
      </c>
      <c r="O695" t="s">
        <v>20</v>
      </c>
    </row>
    <row r="696" spans="1:15" x14ac:dyDescent="0.35">
      <c r="A696" t="s">
        <v>730</v>
      </c>
      <c r="B696" t="s">
        <v>16</v>
      </c>
      <c r="C696" t="s">
        <v>23</v>
      </c>
      <c r="D696" t="s">
        <v>24</v>
      </c>
      <c r="E696" s="3">
        <v>16.670000000000002</v>
      </c>
      <c r="F696" s="3">
        <v>5.68</v>
      </c>
      <c r="G696" s="3">
        <v>20.239999999999998</v>
      </c>
      <c r="H696" s="4">
        <v>214.78</v>
      </c>
      <c r="I696" s="3">
        <v>88.18</v>
      </c>
      <c r="J696" t="s">
        <v>19</v>
      </c>
      <c r="K696" s="4">
        <v>5.14649</v>
      </c>
      <c r="L696" s="6" cm="1">
        <f t="array" ref="L696">_xlfn.PERCENTILE.INC(_xlfn._xlws.FILTER(tabla_base[Rendimiento_por_hectarea_ton], tabla_base[tipo_cultivo]=tabla_base[[#This Row],[tipo_cultivo]]), 0.75)</f>
        <v>5.3984449999999997</v>
      </c>
      <c r="M696" s="7" t="str">
        <f>IF(tabla_base[[#This Row],[Rendimiento_por_hectarea_ton]]&gt;tabla_base[[#This Row],[percentil_0,75]],"Sí","No")</f>
        <v>No</v>
      </c>
      <c r="N696" s="3">
        <v>0.75</v>
      </c>
      <c r="O696" t="s">
        <v>26</v>
      </c>
    </row>
    <row r="697" spans="1:15" x14ac:dyDescent="0.35">
      <c r="A697" t="s">
        <v>731</v>
      </c>
      <c r="B697" t="s">
        <v>22</v>
      </c>
      <c r="C697" t="s">
        <v>23</v>
      </c>
      <c r="D697" t="s">
        <v>35</v>
      </c>
      <c r="E697" s="3">
        <v>36.81</v>
      </c>
      <c r="F697" s="3">
        <v>7.44</v>
      </c>
      <c r="G697" s="3">
        <v>28.52</v>
      </c>
      <c r="H697" s="4">
        <v>74.599999999999994</v>
      </c>
      <c r="I697" s="3">
        <v>68.89</v>
      </c>
      <c r="J697" t="s">
        <v>25</v>
      </c>
      <c r="K697" s="4">
        <v>5.0814899999999996</v>
      </c>
      <c r="L697" s="6" cm="1">
        <f t="array" ref="L697">_xlfn.PERCENTILE.INC(_xlfn._xlws.FILTER(tabla_base[Rendimiento_por_hectarea_ton], tabla_base[tipo_cultivo]=tabla_base[[#This Row],[tipo_cultivo]]), 0.75)</f>
        <v>5.1318025</v>
      </c>
      <c r="M697" s="7" t="str">
        <f>IF(tabla_base[[#This Row],[Rendimiento_por_hectarea_ton]]&gt;tabla_base[[#This Row],[percentil_0,75]],"Sí","No")</f>
        <v>No</v>
      </c>
      <c r="N697" s="3">
        <v>0.77</v>
      </c>
      <c r="O697" t="s">
        <v>26</v>
      </c>
    </row>
    <row r="698" spans="1:15" x14ac:dyDescent="0.35">
      <c r="A698" t="s">
        <v>732</v>
      </c>
      <c r="B698" t="s">
        <v>22</v>
      </c>
      <c r="C698" t="s">
        <v>17</v>
      </c>
      <c r="D698" t="s">
        <v>24</v>
      </c>
      <c r="E698" s="3">
        <v>17.04</v>
      </c>
      <c r="F698" s="3">
        <v>7.32</v>
      </c>
      <c r="G698" s="3">
        <v>19.53</v>
      </c>
      <c r="H698" s="4">
        <v>139.09</v>
      </c>
      <c r="I698" s="3">
        <v>79.239999999999995</v>
      </c>
      <c r="J698" t="s">
        <v>28</v>
      </c>
      <c r="K698" s="4">
        <v>2.67502</v>
      </c>
      <c r="L698" s="6" cm="1">
        <f t="array" ref="L698">_xlfn.PERCENTILE.INC(_xlfn._xlws.FILTER(tabla_base[Rendimiento_por_hectarea_ton], tabla_base[tipo_cultivo]=tabla_base[[#This Row],[tipo_cultivo]]), 0.75)</f>
        <v>5.3984449999999997</v>
      </c>
      <c r="M698" s="7" t="str">
        <f>IF(tabla_base[[#This Row],[Rendimiento_por_hectarea_ton]]&gt;tabla_base[[#This Row],[percentil_0,75]],"Sí","No")</f>
        <v>No</v>
      </c>
      <c r="N698" s="3">
        <v>0.79</v>
      </c>
      <c r="O698" t="s">
        <v>19</v>
      </c>
    </row>
    <row r="699" spans="1:15" x14ac:dyDescent="0.35">
      <c r="A699" t="s">
        <v>733</v>
      </c>
      <c r="B699" t="s">
        <v>16</v>
      </c>
      <c r="C699" t="s">
        <v>17</v>
      </c>
      <c r="D699" t="s">
        <v>24</v>
      </c>
      <c r="E699" s="3">
        <v>37.72</v>
      </c>
      <c r="F699" s="3">
        <v>7.39</v>
      </c>
      <c r="G699" s="3">
        <v>31.06</v>
      </c>
      <c r="H699" s="4">
        <v>214.53</v>
      </c>
      <c r="I699" s="3">
        <v>58.1</v>
      </c>
      <c r="J699" t="s">
        <v>37</v>
      </c>
      <c r="K699" s="4">
        <v>5.4875600000000002</v>
      </c>
      <c r="L699" s="6" cm="1">
        <f t="array" ref="L699">_xlfn.PERCENTILE.INC(_xlfn._xlws.FILTER(tabla_base[Rendimiento_por_hectarea_ton], tabla_base[tipo_cultivo]=tabla_base[[#This Row],[tipo_cultivo]]), 0.75)</f>
        <v>5.3984449999999997</v>
      </c>
      <c r="M699" s="7" t="str">
        <f>IF(tabla_base[[#This Row],[Rendimiento_por_hectarea_ton]]&gt;tabla_base[[#This Row],[percentil_0,75]],"Sí","No")</f>
        <v>Sí</v>
      </c>
      <c r="N699" s="3">
        <v>0.67</v>
      </c>
      <c r="O699" t="s">
        <v>20</v>
      </c>
    </row>
    <row r="700" spans="1:15" x14ac:dyDescent="0.35">
      <c r="A700" t="s">
        <v>734</v>
      </c>
      <c r="B700" t="s">
        <v>22</v>
      </c>
      <c r="C700" t="s">
        <v>40</v>
      </c>
      <c r="D700" t="s">
        <v>18</v>
      </c>
      <c r="E700" s="3">
        <v>26.99</v>
      </c>
      <c r="F700" s="3">
        <v>6.64</v>
      </c>
      <c r="G700" s="3">
        <v>20.83</v>
      </c>
      <c r="H700" s="4">
        <v>129.69</v>
      </c>
      <c r="I700" s="3">
        <v>70.14</v>
      </c>
      <c r="J700" t="s">
        <v>25</v>
      </c>
      <c r="K700" s="4">
        <v>5.1140100000000004</v>
      </c>
      <c r="L700" s="6" cm="1">
        <f t="array" ref="L700">_xlfn.PERCENTILE.INC(_xlfn._xlws.FILTER(tabla_base[Rendimiento_por_hectarea_ton], tabla_base[tipo_cultivo]=tabla_base[[#This Row],[tipo_cultivo]]), 0.75)</f>
        <v>5.2079399999999998</v>
      </c>
      <c r="M700" s="7" t="str">
        <f>IF(tabla_base[[#This Row],[Rendimiento_por_hectarea_ton]]&gt;tabla_base[[#This Row],[percentil_0,75]],"Sí","No")</f>
        <v>No</v>
      </c>
      <c r="N700" s="3">
        <v>0.88</v>
      </c>
      <c r="O700" t="s">
        <v>20</v>
      </c>
    </row>
    <row r="701" spans="1:15" x14ac:dyDescent="0.35">
      <c r="A701" t="s">
        <v>735</v>
      </c>
      <c r="B701" t="s">
        <v>16</v>
      </c>
      <c r="C701" t="s">
        <v>30</v>
      </c>
      <c r="D701" t="s">
        <v>24</v>
      </c>
      <c r="E701" s="3">
        <v>16.329999999999998</v>
      </c>
      <c r="F701" s="3">
        <v>6.21</v>
      </c>
      <c r="G701" s="3">
        <v>23.43</v>
      </c>
      <c r="H701" s="4">
        <v>225.34</v>
      </c>
      <c r="I701" s="3">
        <v>87.34</v>
      </c>
      <c r="J701" t="s">
        <v>37</v>
      </c>
      <c r="K701" s="4">
        <v>5.0709400000000002</v>
      </c>
      <c r="L701" s="6" cm="1">
        <f t="array" ref="L701">_xlfn.PERCENTILE.INC(_xlfn._xlws.FILTER(tabla_base[Rendimiento_por_hectarea_ton], tabla_base[tipo_cultivo]=tabla_base[[#This Row],[tipo_cultivo]]), 0.75)</f>
        <v>5.3984449999999997</v>
      </c>
      <c r="M701" s="7" t="str">
        <f>IF(tabla_base[[#This Row],[Rendimiento_por_hectarea_ton]]&gt;tabla_base[[#This Row],[percentil_0,75]],"Sí","No")</f>
        <v>No</v>
      </c>
      <c r="N701" s="3">
        <v>0.67</v>
      </c>
      <c r="O701" t="s">
        <v>19</v>
      </c>
    </row>
    <row r="702" spans="1:15" x14ac:dyDescent="0.35">
      <c r="A702" t="s">
        <v>736</v>
      </c>
      <c r="B702" t="s">
        <v>22</v>
      </c>
      <c r="C702" t="s">
        <v>17</v>
      </c>
      <c r="D702" t="s">
        <v>547</v>
      </c>
      <c r="E702" s="3">
        <v>19.38</v>
      </c>
      <c r="F702" s="3">
        <v>5.81</v>
      </c>
      <c r="G702" s="3">
        <v>23.01</v>
      </c>
      <c r="H702" s="4">
        <v>100.64</v>
      </c>
      <c r="I702" s="3">
        <v>86.85</v>
      </c>
      <c r="J702" t="s">
        <v>37</v>
      </c>
      <c r="K702" s="4">
        <v>2.78945</v>
      </c>
      <c r="L702" s="6" cm="1">
        <f t="array" ref="L702">_xlfn.PERCENTILE.INC(_xlfn._xlws.FILTER(tabla_base[Rendimiento_por_hectarea_ton], tabla_base[tipo_cultivo]=tabla_base[[#This Row],[tipo_cultivo]]), 0.75)</f>
        <v>5.2323700000000004</v>
      </c>
      <c r="M702" s="7" t="str">
        <f>IF(tabla_base[[#This Row],[Rendimiento_por_hectarea_ton]]&gt;tabla_base[[#This Row],[percentil_0,75]],"Sí","No")</f>
        <v>No</v>
      </c>
      <c r="N702" s="3">
        <v>0.85</v>
      </c>
      <c r="O702" t="s">
        <v>20</v>
      </c>
    </row>
    <row r="703" spans="1:15" x14ac:dyDescent="0.35">
      <c r="A703" t="s">
        <v>737</v>
      </c>
      <c r="B703" t="s">
        <v>16</v>
      </c>
      <c r="C703" t="s">
        <v>17</v>
      </c>
      <c r="D703" t="s">
        <v>35</v>
      </c>
      <c r="E703" s="3">
        <v>24.8</v>
      </c>
      <c r="F703" s="3">
        <v>5.71</v>
      </c>
      <c r="G703" s="3">
        <v>26.98</v>
      </c>
      <c r="H703" s="4">
        <v>186.11</v>
      </c>
      <c r="I703" s="3">
        <v>78.709999999999994</v>
      </c>
      <c r="J703" t="s">
        <v>37</v>
      </c>
      <c r="K703" s="4">
        <v>4.0708399999999996</v>
      </c>
      <c r="L703" s="6" cm="1">
        <f t="array" ref="L703">_xlfn.PERCENTILE.INC(_xlfn._xlws.FILTER(tabla_base[Rendimiento_por_hectarea_ton], tabla_base[tipo_cultivo]=tabla_base[[#This Row],[tipo_cultivo]]), 0.75)</f>
        <v>5.1318025</v>
      </c>
      <c r="M703" s="7" t="str">
        <f>IF(tabla_base[[#This Row],[Rendimiento_por_hectarea_ton]]&gt;tabla_base[[#This Row],[percentil_0,75]],"Sí","No")</f>
        <v>No</v>
      </c>
      <c r="N703" s="3">
        <v>0.62</v>
      </c>
      <c r="O703" t="s">
        <v>19</v>
      </c>
    </row>
    <row r="704" spans="1:15" x14ac:dyDescent="0.35">
      <c r="A704" t="s">
        <v>738</v>
      </c>
      <c r="B704" t="s">
        <v>22</v>
      </c>
      <c r="C704" t="s">
        <v>23</v>
      </c>
      <c r="D704" t="s">
        <v>18</v>
      </c>
      <c r="E704" s="3">
        <v>22.83</v>
      </c>
      <c r="F704" s="3">
        <v>7.26</v>
      </c>
      <c r="G704" s="3">
        <v>31.36</v>
      </c>
      <c r="H704" s="4">
        <v>188.02</v>
      </c>
      <c r="I704" s="3">
        <v>80.3</v>
      </c>
      <c r="J704" t="s">
        <v>37</v>
      </c>
      <c r="K704" s="4">
        <v>3.7208299999999999</v>
      </c>
      <c r="L704" s="6" cm="1">
        <f t="array" ref="L704">_xlfn.PERCENTILE.INC(_xlfn._xlws.FILTER(tabla_base[Rendimiento_por_hectarea_ton], tabla_base[tipo_cultivo]=tabla_base[[#This Row],[tipo_cultivo]]), 0.75)</f>
        <v>5.2079399999999998</v>
      </c>
      <c r="M704" s="7" t="str">
        <f>IF(tabla_base[[#This Row],[Rendimiento_por_hectarea_ton]]&gt;tabla_base[[#This Row],[percentil_0,75]],"Sí","No")</f>
        <v>No</v>
      </c>
      <c r="N704" s="3">
        <v>0.5</v>
      </c>
      <c r="O704" t="s">
        <v>26</v>
      </c>
    </row>
    <row r="705" spans="1:15" x14ac:dyDescent="0.35">
      <c r="A705" t="s">
        <v>739</v>
      </c>
      <c r="B705" t="s">
        <v>16</v>
      </c>
      <c r="C705" t="s">
        <v>23</v>
      </c>
      <c r="D705" t="s">
        <v>31</v>
      </c>
      <c r="E705" s="3">
        <v>28.63</v>
      </c>
      <c r="F705" s="3">
        <v>5.69</v>
      </c>
      <c r="G705" s="3">
        <v>28.67</v>
      </c>
      <c r="H705" s="4">
        <v>71.989999999999995</v>
      </c>
      <c r="I705" s="3">
        <v>88.82</v>
      </c>
      <c r="J705" t="s">
        <v>37</v>
      </c>
      <c r="K705" s="4">
        <v>4.9348799999999997</v>
      </c>
      <c r="L705" s="6" cm="1">
        <f t="array" ref="L705">_xlfn.PERCENTILE.INC(_xlfn._xlws.FILTER(tabla_base[Rendimiento_por_hectarea_ton], tabla_base[tipo_cultivo]=tabla_base[[#This Row],[tipo_cultivo]]), 0.75)</f>
        <v>5.1742550000000005</v>
      </c>
      <c r="M705" s="7" t="str">
        <f>IF(tabla_base[[#This Row],[Rendimiento_por_hectarea_ton]]&gt;tabla_base[[#This Row],[percentil_0,75]],"Sí","No")</f>
        <v>No</v>
      </c>
      <c r="N705" s="3">
        <v>0.6</v>
      </c>
      <c r="O705" t="s">
        <v>19</v>
      </c>
    </row>
    <row r="706" spans="1:15" x14ac:dyDescent="0.35">
      <c r="A706" t="s">
        <v>740</v>
      </c>
      <c r="B706" t="s">
        <v>22</v>
      </c>
      <c r="C706" t="s">
        <v>17</v>
      </c>
      <c r="D706" t="s">
        <v>24</v>
      </c>
      <c r="E706" s="3">
        <v>16.850000000000001</v>
      </c>
      <c r="F706" s="3">
        <v>7.27</v>
      </c>
      <c r="G706" s="3">
        <v>34.21</v>
      </c>
      <c r="H706" s="4">
        <v>71.64</v>
      </c>
      <c r="I706" s="3">
        <v>70.39</v>
      </c>
      <c r="J706" t="s">
        <v>37</v>
      </c>
      <c r="K706" s="4">
        <v>2.5773999999999999</v>
      </c>
      <c r="L706" s="6" cm="1">
        <f t="array" ref="L706">_xlfn.PERCENTILE.INC(_xlfn._xlws.FILTER(tabla_base[Rendimiento_por_hectarea_ton], tabla_base[tipo_cultivo]=tabla_base[[#This Row],[tipo_cultivo]]), 0.75)</f>
        <v>5.3984449999999997</v>
      </c>
      <c r="M706" s="7" t="str">
        <f>IF(tabla_base[[#This Row],[Rendimiento_por_hectarea_ton]]&gt;tabla_base[[#This Row],[percentil_0,75]],"Sí","No")</f>
        <v>No</v>
      </c>
      <c r="N706" s="3">
        <v>0.64</v>
      </c>
      <c r="O706" t="s">
        <v>26</v>
      </c>
    </row>
    <row r="707" spans="1:15" x14ac:dyDescent="0.35">
      <c r="A707" t="s">
        <v>741</v>
      </c>
      <c r="B707" t="s">
        <v>16</v>
      </c>
      <c r="C707" t="s">
        <v>23</v>
      </c>
      <c r="D707" t="s">
        <v>547</v>
      </c>
      <c r="E707" s="3">
        <v>23.81</v>
      </c>
      <c r="F707" s="3">
        <v>5.95</v>
      </c>
      <c r="G707" s="3">
        <v>27.01</v>
      </c>
      <c r="H707" s="4">
        <v>282.01</v>
      </c>
      <c r="I707" s="3">
        <v>50.65</v>
      </c>
      <c r="J707" t="s">
        <v>25</v>
      </c>
      <c r="K707" s="4">
        <v>4.2797099999999997</v>
      </c>
      <c r="L707" s="6" cm="1">
        <f t="array" ref="L707">_xlfn.PERCENTILE.INC(_xlfn._xlws.FILTER(tabla_base[Rendimiento_por_hectarea_ton], tabla_base[tipo_cultivo]=tabla_base[[#This Row],[tipo_cultivo]]), 0.75)</f>
        <v>5.2323700000000004</v>
      </c>
      <c r="M707" s="7" t="str">
        <f>IF(tabla_base[[#This Row],[Rendimiento_por_hectarea_ton]]&gt;tabla_base[[#This Row],[percentil_0,75]],"Sí","No")</f>
        <v>No</v>
      </c>
      <c r="N707" s="3">
        <v>0.84</v>
      </c>
      <c r="O707" t="s">
        <v>20</v>
      </c>
    </row>
    <row r="708" spans="1:15" x14ac:dyDescent="0.35">
      <c r="A708" t="s">
        <v>742</v>
      </c>
      <c r="B708" t="s">
        <v>22</v>
      </c>
      <c r="C708" t="s">
        <v>17</v>
      </c>
      <c r="D708" t="s">
        <v>35</v>
      </c>
      <c r="E708" s="3">
        <v>29.98</v>
      </c>
      <c r="F708" s="3">
        <v>6.17</v>
      </c>
      <c r="G708" s="3">
        <v>20.43</v>
      </c>
      <c r="H708" s="4">
        <v>108.1</v>
      </c>
      <c r="I708" s="3">
        <v>61.04</v>
      </c>
      <c r="J708" t="s">
        <v>19</v>
      </c>
      <c r="K708" s="4">
        <v>4.13089</v>
      </c>
      <c r="L708" s="6" cm="1">
        <f t="array" ref="L708">_xlfn.PERCENTILE.INC(_xlfn._xlws.FILTER(tabla_base[Rendimiento_por_hectarea_ton], tabla_base[tipo_cultivo]=tabla_base[[#This Row],[tipo_cultivo]]), 0.75)</f>
        <v>5.1318025</v>
      </c>
      <c r="M708" s="7" t="str">
        <f>IF(tabla_base[[#This Row],[Rendimiento_por_hectarea_ton]]&gt;tabla_base[[#This Row],[percentil_0,75]],"Sí","No")</f>
        <v>No</v>
      </c>
      <c r="N708" s="3">
        <v>0.63</v>
      </c>
      <c r="O708" t="s">
        <v>20</v>
      </c>
    </row>
    <row r="709" spans="1:15" x14ac:dyDescent="0.35">
      <c r="A709" t="s">
        <v>743</v>
      </c>
      <c r="B709" t="s">
        <v>22</v>
      </c>
      <c r="C709" t="s">
        <v>23</v>
      </c>
      <c r="D709" t="s">
        <v>35</v>
      </c>
      <c r="E709" s="3">
        <v>22.84</v>
      </c>
      <c r="F709" s="3">
        <v>5.68</v>
      </c>
      <c r="G709" s="3">
        <v>20.67</v>
      </c>
      <c r="H709" s="4">
        <v>233.13</v>
      </c>
      <c r="I709" s="3">
        <v>79.72</v>
      </c>
      <c r="J709" t="s">
        <v>19</v>
      </c>
      <c r="K709" s="4">
        <v>6.1309800000000001</v>
      </c>
      <c r="L709" s="6" cm="1">
        <f t="array" ref="L709">_xlfn.PERCENTILE.INC(_xlfn._xlws.FILTER(tabla_base[Rendimiento_por_hectarea_ton], tabla_base[tipo_cultivo]=tabla_base[[#This Row],[tipo_cultivo]]), 0.75)</f>
        <v>5.1318025</v>
      </c>
      <c r="M709" s="7" t="str">
        <f>IF(tabla_base[[#This Row],[Rendimiento_por_hectarea_ton]]&gt;tabla_base[[#This Row],[percentil_0,75]],"Sí","No")</f>
        <v>Sí</v>
      </c>
      <c r="N709" s="3">
        <v>0.74</v>
      </c>
      <c r="O709" t="s">
        <v>26</v>
      </c>
    </row>
    <row r="710" spans="1:15" x14ac:dyDescent="0.35">
      <c r="A710" t="s">
        <v>744</v>
      </c>
      <c r="B710" t="s">
        <v>16</v>
      </c>
      <c r="C710" t="s">
        <v>23</v>
      </c>
      <c r="D710" t="s">
        <v>24</v>
      </c>
      <c r="E710" s="3">
        <v>23.97</v>
      </c>
      <c r="F710" s="3">
        <v>6.94</v>
      </c>
      <c r="G710" s="3">
        <v>23.36</v>
      </c>
      <c r="H710" s="4">
        <v>96.29</v>
      </c>
      <c r="I710" s="3">
        <v>82.79</v>
      </c>
      <c r="J710" t="s">
        <v>28</v>
      </c>
      <c r="K710" s="4">
        <v>5.9737900000000002</v>
      </c>
      <c r="L710" s="6" cm="1">
        <f t="array" ref="L710">_xlfn.PERCENTILE.INC(_xlfn._xlws.FILTER(tabla_base[Rendimiento_por_hectarea_ton], tabla_base[tipo_cultivo]=tabla_base[[#This Row],[tipo_cultivo]]), 0.75)</f>
        <v>5.3984449999999997</v>
      </c>
      <c r="M710" s="7" t="str">
        <f>IF(tabla_base[[#This Row],[Rendimiento_por_hectarea_ton]]&gt;tabla_base[[#This Row],[percentil_0,75]],"Sí","No")</f>
        <v>Sí</v>
      </c>
      <c r="N710" s="3">
        <v>0.68</v>
      </c>
      <c r="O710" t="s">
        <v>20</v>
      </c>
    </row>
    <row r="711" spans="1:15" x14ac:dyDescent="0.35">
      <c r="A711" t="s">
        <v>745</v>
      </c>
      <c r="B711" t="s">
        <v>22</v>
      </c>
      <c r="C711" t="s">
        <v>40</v>
      </c>
      <c r="D711" t="s">
        <v>33</v>
      </c>
      <c r="E711" s="3">
        <v>20.79</v>
      </c>
      <c r="F711" s="3">
        <v>7.18</v>
      </c>
      <c r="G711" s="3">
        <v>32.700000000000003</v>
      </c>
      <c r="H711" s="4">
        <v>242.68</v>
      </c>
      <c r="I711" s="3">
        <v>64.41</v>
      </c>
      <c r="J711" t="s">
        <v>28</v>
      </c>
      <c r="K711" s="4">
        <v>4.4407899999999998</v>
      </c>
      <c r="L711" s="6" cm="1">
        <f t="array" ref="L711">_xlfn.PERCENTILE.INC(_xlfn._xlws.FILTER(tabla_base[Rendimiento_por_hectarea_ton], tabla_base[tipo_cultivo]=tabla_base[[#This Row],[tipo_cultivo]]), 0.75)</f>
        <v>5.1635450000000001</v>
      </c>
      <c r="M711" s="7" t="str">
        <f>IF(tabla_base[[#This Row],[Rendimiento_por_hectarea_ton]]&gt;tabla_base[[#This Row],[percentil_0,75]],"Sí","No")</f>
        <v>No</v>
      </c>
      <c r="N711" s="3">
        <v>0.54</v>
      </c>
      <c r="O711" t="s">
        <v>26</v>
      </c>
    </row>
    <row r="712" spans="1:15" x14ac:dyDescent="0.35">
      <c r="A712" t="s">
        <v>746</v>
      </c>
      <c r="B712" t="s">
        <v>16</v>
      </c>
      <c r="C712" t="s">
        <v>17</v>
      </c>
      <c r="D712" t="s">
        <v>33</v>
      </c>
      <c r="E712" s="3">
        <v>36.71</v>
      </c>
      <c r="F712" s="3">
        <v>7.05</v>
      </c>
      <c r="G712" s="3">
        <v>34.880000000000003</v>
      </c>
      <c r="H712" s="4">
        <v>249.37</v>
      </c>
      <c r="I712" s="3">
        <v>81.06</v>
      </c>
      <c r="J712" t="s">
        <v>28</v>
      </c>
      <c r="K712" s="4">
        <v>5.2523</v>
      </c>
      <c r="L712" s="6" cm="1">
        <f t="array" ref="L712">_xlfn.PERCENTILE.INC(_xlfn._xlws.FILTER(tabla_base[Rendimiento_por_hectarea_ton], tabla_base[tipo_cultivo]=tabla_base[[#This Row],[tipo_cultivo]]), 0.75)</f>
        <v>5.1635450000000001</v>
      </c>
      <c r="M712" s="7" t="str">
        <f>IF(tabla_base[[#This Row],[Rendimiento_por_hectarea_ton]]&gt;tabla_base[[#This Row],[percentil_0,75]],"Sí","No")</f>
        <v>Sí</v>
      </c>
      <c r="N712" s="3">
        <v>0.72</v>
      </c>
      <c r="O712" t="s">
        <v>19</v>
      </c>
    </row>
    <row r="713" spans="1:15" x14ac:dyDescent="0.35">
      <c r="A713" t="s">
        <v>747</v>
      </c>
      <c r="B713" t="s">
        <v>544</v>
      </c>
      <c r="C713" t="s">
        <v>17</v>
      </c>
      <c r="D713" t="s">
        <v>35</v>
      </c>
      <c r="E713" s="3">
        <v>39.549999999999997</v>
      </c>
      <c r="F713" s="3">
        <v>7.36</v>
      </c>
      <c r="G713" s="3">
        <v>29.79</v>
      </c>
      <c r="H713" s="4">
        <v>152.81</v>
      </c>
      <c r="I713" s="3">
        <v>62</v>
      </c>
      <c r="J713" t="s">
        <v>25</v>
      </c>
      <c r="K713" s="4">
        <v>4.3090900000000003</v>
      </c>
      <c r="L713" s="6" cm="1">
        <f t="array" ref="L713">_xlfn.PERCENTILE.INC(_xlfn._xlws.FILTER(tabla_base[Rendimiento_por_hectarea_ton], tabla_base[tipo_cultivo]=tabla_base[[#This Row],[tipo_cultivo]]), 0.75)</f>
        <v>5.1318025</v>
      </c>
      <c r="M713" s="7" t="str">
        <f>IF(tabla_base[[#This Row],[Rendimiento_por_hectarea_ton]]&gt;tabla_base[[#This Row],[percentil_0,75]],"Sí","No")</f>
        <v>No</v>
      </c>
      <c r="N713" s="3">
        <v>0.78</v>
      </c>
      <c r="O713" t="s">
        <v>26</v>
      </c>
    </row>
    <row r="714" spans="1:15" x14ac:dyDescent="0.35">
      <c r="A714" t="s">
        <v>748</v>
      </c>
      <c r="B714" t="s">
        <v>22</v>
      </c>
      <c r="C714" t="s">
        <v>30</v>
      </c>
      <c r="D714" t="s">
        <v>31</v>
      </c>
      <c r="E714" s="3">
        <v>26.2</v>
      </c>
      <c r="F714" s="3">
        <v>6.77</v>
      </c>
      <c r="G714" s="3">
        <v>21.4</v>
      </c>
      <c r="H714" s="4">
        <v>281.02</v>
      </c>
      <c r="I714" s="3">
        <v>54.02</v>
      </c>
      <c r="J714" t="s">
        <v>25</v>
      </c>
      <c r="K714" s="4">
        <v>4.8352399999999998</v>
      </c>
      <c r="L714" s="6" cm="1">
        <f t="array" ref="L714">_xlfn.PERCENTILE.INC(_xlfn._xlws.FILTER(tabla_base[Rendimiento_por_hectarea_ton], tabla_base[tipo_cultivo]=tabla_base[[#This Row],[tipo_cultivo]]), 0.75)</f>
        <v>5.1742550000000005</v>
      </c>
      <c r="M714" s="7" t="str">
        <f>IF(tabla_base[[#This Row],[Rendimiento_por_hectarea_ton]]&gt;tabla_base[[#This Row],[percentil_0,75]],"Sí","No")</f>
        <v>No</v>
      </c>
      <c r="N714" s="3">
        <v>0.51</v>
      </c>
      <c r="O714" t="s">
        <v>19</v>
      </c>
    </row>
    <row r="715" spans="1:15" x14ac:dyDescent="0.35">
      <c r="A715" t="s">
        <v>749</v>
      </c>
      <c r="B715" t="s">
        <v>16</v>
      </c>
      <c r="C715" t="s">
        <v>40</v>
      </c>
      <c r="D715" t="s">
        <v>33</v>
      </c>
      <c r="E715" s="3">
        <v>25.91</v>
      </c>
      <c r="F715" s="3">
        <v>6.92</v>
      </c>
      <c r="G715" s="3">
        <v>22.35</v>
      </c>
      <c r="H715" s="4">
        <v>227.97</v>
      </c>
      <c r="I715" s="3">
        <v>60.17</v>
      </c>
      <c r="J715" t="s">
        <v>37</v>
      </c>
      <c r="K715" s="4">
        <v>5.1665200000000002</v>
      </c>
      <c r="L715" s="6" cm="1">
        <f t="array" ref="L715">_xlfn.PERCENTILE.INC(_xlfn._xlws.FILTER(tabla_base[Rendimiento_por_hectarea_ton], tabla_base[tipo_cultivo]=tabla_base[[#This Row],[tipo_cultivo]]), 0.75)</f>
        <v>5.1635450000000001</v>
      </c>
      <c r="M715" s="7" t="str">
        <f>IF(tabla_base[[#This Row],[Rendimiento_por_hectarea_ton]]&gt;tabla_base[[#This Row],[percentil_0,75]],"Sí","No")</f>
        <v>Sí</v>
      </c>
      <c r="N715" s="3">
        <v>0.89</v>
      </c>
      <c r="O715" t="s">
        <v>26</v>
      </c>
    </row>
    <row r="716" spans="1:15" x14ac:dyDescent="0.35">
      <c r="A716" t="s">
        <v>750</v>
      </c>
      <c r="B716" t="s">
        <v>544</v>
      </c>
      <c r="C716" t="s">
        <v>17</v>
      </c>
      <c r="D716" t="s">
        <v>18</v>
      </c>
      <c r="E716" s="3">
        <v>30.51</v>
      </c>
      <c r="F716" s="3">
        <v>6.03</v>
      </c>
      <c r="G716" s="3">
        <v>18.079999999999998</v>
      </c>
      <c r="H716" s="4">
        <v>294.06</v>
      </c>
      <c r="I716" s="3">
        <v>87.19</v>
      </c>
      <c r="J716" t="s">
        <v>19</v>
      </c>
      <c r="K716" s="4">
        <v>2.5934900000000001</v>
      </c>
      <c r="L716" s="6" cm="1">
        <f t="array" ref="L716">_xlfn.PERCENTILE.INC(_xlfn._xlws.FILTER(tabla_base[Rendimiento_por_hectarea_ton], tabla_base[tipo_cultivo]=tabla_base[[#This Row],[tipo_cultivo]]), 0.75)</f>
        <v>5.2079399999999998</v>
      </c>
      <c r="M716" s="7" t="str">
        <f>IF(tabla_base[[#This Row],[Rendimiento_por_hectarea_ton]]&gt;tabla_base[[#This Row],[percentil_0,75]],"Sí","No")</f>
        <v>No</v>
      </c>
      <c r="N716" s="3">
        <v>0.88</v>
      </c>
      <c r="O716" t="s">
        <v>19</v>
      </c>
    </row>
    <row r="717" spans="1:15" x14ac:dyDescent="0.35">
      <c r="A717" t="s">
        <v>751</v>
      </c>
      <c r="B717" t="s">
        <v>22</v>
      </c>
      <c r="C717" t="s">
        <v>23</v>
      </c>
      <c r="D717" t="s">
        <v>547</v>
      </c>
      <c r="E717" s="3">
        <v>22.33</v>
      </c>
      <c r="F717" s="3">
        <v>6.28</v>
      </c>
      <c r="G717" s="3">
        <v>21.68</v>
      </c>
      <c r="H717" s="4">
        <v>200.28</v>
      </c>
      <c r="I717" s="3">
        <v>59.96</v>
      </c>
      <c r="J717" t="s">
        <v>19</v>
      </c>
      <c r="K717" s="4">
        <v>3.2214100000000001</v>
      </c>
      <c r="L717" s="6" cm="1">
        <f t="array" ref="L717">_xlfn.PERCENTILE.INC(_xlfn._xlws.FILTER(tabla_base[Rendimiento_por_hectarea_ton], tabla_base[tipo_cultivo]=tabla_base[[#This Row],[tipo_cultivo]]), 0.75)</f>
        <v>5.2323700000000004</v>
      </c>
      <c r="M717" s="7" t="str">
        <f>IF(tabla_base[[#This Row],[Rendimiento_por_hectarea_ton]]&gt;tabla_base[[#This Row],[percentil_0,75]],"Sí","No")</f>
        <v>No</v>
      </c>
      <c r="N717" s="3">
        <v>0.61</v>
      </c>
      <c r="O717" t="s">
        <v>20</v>
      </c>
    </row>
    <row r="718" spans="1:15" x14ac:dyDescent="0.35">
      <c r="A718" t="s">
        <v>752</v>
      </c>
      <c r="B718" t="s">
        <v>16</v>
      </c>
      <c r="C718" t="s">
        <v>17</v>
      </c>
      <c r="D718" t="s">
        <v>33</v>
      </c>
      <c r="E718" s="3">
        <v>24.55</v>
      </c>
      <c r="F718" s="3">
        <v>5.75</v>
      </c>
      <c r="G718" s="3">
        <v>30.9</v>
      </c>
      <c r="H718" s="4">
        <v>60.97</v>
      </c>
      <c r="I718" s="3">
        <v>75.47</v>
      </c>
      <c r="J718" t="s">
        <v>28</v>
      </c>
      <c r="K718" s="4">
        <v>3.1897000000000002</v>
      </c>
      <c r="L718" s="6" cm="1">
        <f t="array" ref="L718">_xlfn.PERCENTILE.INC(_xlfn._xlws.FILTER(tabla_base[Rendimiento_por_hectarea_ton], tabla_base[tipo_cultivo]=tabla_base[[#This Row],[tipo_cultivo]]), 0.75)</f>
        <v>5.1635450000000001</v>
      </c>
      <c r="M718" s="7" t="str">
        <f>IF(tabla_base[[#This Row],[Rendimiento_por_hectarea_ton]]&gt;tabla_base[[#This Row],[percentil_0,75]],"Sí","No")</f>
        <v>No</v>
      </c>
      <c r="N718" s="3">
        <v>0.79</v>
      </c>
      <c r="O718" t="s">
        <v>19</v>
      </c>
    </row>
    <row r="719" spans="1:15" x14ac:dyDescent="0.35">
      <c r="A719" t="s">
        <v>753</v>
      </c>
      <c r="B719" t="s">
        <v>16</v>
      </c>
      <c r="C719" t="s">
        <v>23</v>
      </c>
      <c r="D719" t="s">
        <v>31</v>
      </c>
      <c r="E719" s="3">
        <v>34.71</v>
      </c>
      <c r="F719" s="3">
        <v>7.38</v>
      </c>
      <c r="G719" s="3">
        <v>30.03</v>
      </c>
      <c r="H719" s="4">
        <v>51.9</v>
      </c>
      <c r="I719" s="3">
        <v>83.86</v>
      </c>
      <c r="J719" t="s">
        <v>19</v>
      </c>
      <c r="K719" s="4">
        <v>4.8844399999999997</v>
      </c>
      <c r="L719" s="6" cm="1">
        <f t="array" ref="L719">_xlfn.PERCENTILE.INC(_xlfn._xlws.FILTER(tabla_base[Rendimiento_por_hectarea_ton], tabla_base[tipo_cultivo]=tabla_base[[#This Row],[tipo_cultivo]]), 0.75)</f>
        <v>5.1742550000000005</v>
      </c>
      <c r="M719" s="7" t="str">
        <f>IF(tabla_base[[#This Row],[Rendimiento_por_hectarea_ton]]&gt;tabla_base[[#This Row],[percentil_0,75]],"Sí","No")</f>
        <v>No</v>
      </c>
      <c r="N719" s="3">
        <v>0.57999999999999996</v>
      </c>
      <c r="O719" t="s">
        <v>20</v>
      </c>
    </row>
    <row r="720" spans="1:15" x14ac:dyDescent="0.35">
      <c r="A720" t="s">
        <v>754</v>
      </c>
      <c r="B720" t="s">
        <v>16</v>
      </c>
      <c r="C720" t="s">
        <v>30</v>
      </c>
      <c r="D720" t="s">
        <v>547</v>
      </c>
      <c r="E720" s="3">
        <v>39.159999999999997</v>
      </c>
      <c r="F720" s="3">
        <v>5.64</v>
      </c>
      <c r="G720" s="3">
        <v>22.59</v>
      </c>
      <c r="H720" s="4">
        <v>127.82</v>
      </c>
      <c r="I720" s="3">
        <v>58.52</v>
      </c>
      <c r="J720" t="s">
        <v>37</v>
      </c>
      <c r="K720" s="4">
        <v>6.2104299999999997</v>
      </c>
      <c r="L720" s="6" cm="1">
        <f t="array" ref="L720">_xlfn.PERCENTILE.INC(_xlfn._xlws.FILTER(tabla_base[Rendimiento_por_hectarea_ton], tabla_base[tipo_cultivo]=tabla_base[[#This Row],[tipo_cultivo]]), 0.75)</f>
        <v>5.2323700000000004</v>
      </c>
      <c r="M720" s="7" t="str">
        <f>IF(tabla_base[[#This Row],[Rendimiento_por_hectarea_ton]]&gt;tabla_base[[#This Row],[percentil_0,75]],"Sí","No")</f>
        <v>Sí</v>
      </c>
      <c r="N720" s="3">
        <v>0.68</v>
      </c>
      <c r="O720" t="s">
        <v>26</v>
      </c>
    </row>
    <row r="721" spans="1:15" x14ac:dyDescent="0.35">
      <c r="A721" t="s">
        <v>755</v>
      </c>
      <c r="B721" t="s">
        <v>16</v>
      </c>
      <c r="C721" t="s">
        <v>30</v>
      </c>
      <c r="D721" t="s">
        <v>33</v>
      </c>
      <c r="E721" s="3">
        <v>18.91</v>
      </c>
      <c r="F721" s="3">
        <v>5.77</v>
      </c>
      <c r="G721" s="3">
        <v>33.11</v>
      </c>
      <c r="H721" s="4">
        <v>291.68</v>
      </c>
      <c r="I721" s="3">
        <v>55.74</v>
      </c>
      <c r="J721" t="s">
        <v>28</v>
      </c>
      <c r="K721" s="4">
        <v>2.7637700000000001</v>
      </c>
      <c r="L721" s="6" cm="1">
        <f t="array" ref="L721">_xlfn.PERCENTILE.INC(_xlfn._xlws.FILTER(tabla_base[Rendimiento_por_hectarea_ton], tabla_base[tipo_cultivo]=tabla_base[[#This Row],[tipo_cultivo]]), 0.75)</f>
        <v>5.1635450000000001</v>
      </c>
      <c r="M721" s="7" t="str">
        <f>IF(tabla_base[[#This Row],[Rendimiento_por_hectarea_ton]]&gt;tabla_base[[#This Row],[percentil_0,75]],"Sí","No")</f>
        <v>No</v>
      </c>
      <c r="N721" s="3">
        <v>0.56000000000000005</v>
      </c>
      <c r="O721" t="s">
        <v>26</v>
      </c>
    </row>
    <row r="722" spans="1:15" x14ac:dyDescent="0.35">
      <c r="A722" t="s">
        <v>756</v>
      </c>
      <c r="B722" t="s">
        <v>544</v>
      </c>
      <c r="C722" t="s">
        <v>17</v>
      </c>
      <c r="D722" t="s">
        <v>24</v>
      </c>
      <c r="E722" s="3">
        <v>28.37</v>
      </c>
      <c r="F722" s="3">
        <v>7.41</v>
      </c>
      <c r="G722" s="3">
        <v>23.91</v>
      </c>
      <c r="H722" s="4">
        <v>261.32</v>
      </c>
      <c r="I722" s="3">
        <v>64.02</v>
      </c>
      <c r="J722" t="s">
        <v>28</v>
      </c>
      <c r="K722" s="4">
        <v>5.5659999999999998</v>
      </c>
      <c r="L722" s="6" cm="1">
        <f t="array" ref="L722">_xlfn.PERCENTILE.INC(_xlfn._xlws.FILTER(tabla_base[Rendimiento_por_hectarea_ton], tabla_base[tipo_cultivo]=tabla_base[[#This Row],[tipo_cultivo]]), 0.75)</f>
        <v>5.3984449999999997</v>
      </c>
      <c r="M722" s="7" t="str">
        <f>IF(tabla_base[[#This Row],[Rendimiento_por_hectarea_ton]]&gt;tabla_base[[#This Row],[percentil_0,75]],"Sí","No")</f>
        <v>Sí</v>
      </c>
      <c r="N722" s="3">
        <v>0.88</v>
      </c>
      <c r="O722" t="s">
        <v>19</v>
      </c>
    </row>
    <row r="723" spans="1:15" x14ac:dyDescent="0.35">
      <c r="A723" t="s">
        <v>757</v>
      </c>
      <c r="B723" t="s">
        <v>16</v>
      </c>
      <c r="C723" t="s">
        <v>40</v>
      </c>
      <c r="D723" t="s">
        <v>24</v>
      </c>
      <c r="E723" s="3">
        <v>22.38</v>
      </c>
      <c r="F723" s="3">
        <v>7.2</v>
      </c>
      <c r="G723" s="3">
        <v>33.369999999999997</v>
      </c>
      <c r="H723" s="4">
        <v>206.72</v>
      </c>
      <c r="I723" s="3">
        <v>73.67</v>
      </c>
      <c r="J723" t="s">
        <v>25</v>
      </c>
      <c r="K723" s="4">
        <v>6.0392299999999999</v>
      </c>
      <c r="L723" s="6" cm="1">
        <f t="array" ref="L723">_xlfn.PERCENTILE.INC(_xlfn._xlws.FILTER(tabla_base[Rendimiento_por_hectarea_ton], tabla_base[tipo_cultivo]=tabla_base[[#This Row],[tipo_cultivo]]), 0.75)</f>
        <v>5.3984449999999997</v>
      </c>
      <c r="M723" s="7" t="str">
        <f>IF(tabla_base[[#This Row],[Rendimiento_por_hectarea_ton]]&gt;tabla_base[[#This Row],[percentil_0,75]],"Sí","No")</f>
        <v>Sí</v>
      </c>
      <c r="N723" s="3">
        <v>0.75</v>
      </c>
      <c r="O723" t="s">
        <v>20</v>
      </c>
    </row>
    <row r="724" spans="1:15" x14ac:dyDescent="0.35">
      <c r="A724" t="s">
        <v>758</v>
      </c>
      <c r="B724" t="s">
        <v>16</v>
      </c>
      <c r="C724" t="s">
        <v>17</v>
      </c>
      <c r="D724" t="s">
        <v>35</v>
      </c>
      <c r="E724" s="3">
        <v>30.16</v>
      </c>
      <c r="F724" s="3">
        <v>6.52</v>
      </c>
      <c r="G724" s="3">
        <v>24.78</v>
      </c>
      <c r="H724" s="4">
        <v>177.22</v>
      </c>
      <c r="I724" s="3">
        <v>83.72</v>
      </c>
      <c r="J724" t="s">
        <v>19</v>
      </c>
      <c r="K724" s="4">
        <v>2.59687</v>
      </c>
      <c r="L724" s="6" cm="1">
        <f t="array" ref="L724">_xlfn.PERCENTILE.INC(_xlfn._xlws.FILTER(tabla_base[Rendimiento_por_hectarea_ton], tabla_base[tipo_cultivo]=tabla_base[[#This Row],[tipo_cultivo]]), 0.75)</f>
        <v>5.1318025</v>
      </c>
      <c r="M724" s="7" t="str">
        <f>IF(tabla_base[[#This Row],[Rendimiento_por_hectarea_ton]]&gt;tabla_base[[#This Row],[percentil_0,75]],"Sí","No")</f>
        <v>No</v>
      </c>
      <c r="N724" s="3">
        <v>0.85</v>
      </c>
      <c r="O724" t="s">
        <v>26</v>
      </c>
    </row>
    <row r="725" spans="1:15" x14ac:dyDescent="0.35">
      <c r="A725" t="s">
        <v>759</v>
      </c>
      <c r="B725" t="s">
        <v>22</v>
      </c>
      <c r="C725" t="s">
        <v>23</v>
      </c>
      <c r="D725" t="s">
        <v>33</v>
      </c>
      <c r="E725" s="3">
        <v>24.82</v>
      </c>
      <c r="F725" s="3">
        <v>7.39</v>
      </c>
      <c r="G725" s="3">
        <v>17.510000000000002</v>
      </c>
      <c r="H725" s="4">
        <v>184.13</v>
      </c>
      <c r="I725" s="3">
        <v>77.319999999999993</v>
      </c>
      <c r="J725" t="s">
        <v>37</v>
      </c>
      <c r="K725" s="4">
        <v>3.8915999999999999</v>
      </c>
      <c r="L725" s="6" cm="1">
        <f t="array" ref="L725">_xlfn.PERCENTILE.INC(_xlfn._xlws.FILTER(tabla_base[Rendimiento_por_hectarea_ton], tabla_base[tipo_cultivo]=tabla_base[[#This Row],[tipo_cultivo]]), 0.75)</f>
        <v>5.1635450000000001</v>
      </c>
      <c r="M725" s="7" t="str">
        <f>IF(tabla_base[[#This Row],[Rendimiento_por_hectarea_ton]]&gt;tabla_base[[#This Row],[percentil_0,75]],"Sí","No")</f>
        <v>No</v>
      </c>
      <c r="N725" s="3">
        <v>0.52</v>
      </c>
      <c r="O725" t="s">
        <v>26</v>
      </c>
    </row>
    <row r="726" spans="1:15" x14ac:dyDescent="0.35">
      <c r="A726" t="s">
        <v>760</v>
      </c>
      <c r="B726" t="s">
        <v>22</v>
      </c>
      <c r="C726" t="s">
        <v>17</v>
      </c>
      <c r="D726" t="s">
        <v>547</v>
      </c>
      <c r="E726" s="3">
        <v>38.479999999999997</v>
      </c>
      <c r="F726" s="3">
        <v>7.13</v>
      </c>
      <c r="G726" s="3">
        <v>26.91</v>
      </c>
      <c r="H726" s="4">
        <v>60.03</v>
      </c>
      <c r="I726" s="3">
        <v>82.2</v>
      </c>
      <c r="J726" t="s">
        <v>37</v>
      </c>
      <c r="K726" s="4">
        <v>3.3024499999999999</v>
      </c>
      <c r="L726" s="6" cm="1">
        <f t="array" ref="L726">_xlfn.PERCENTILE.INC(_xlfn._xlws.FILTER(tabla_base[Rendimiento_por_hectarea_ton], tabla_base[tipo_cultivo]=tabla_base[[#This Row],[tipo_cultivo]]), 0.75)</f>
        <v>5.2323700000000004</v>
      </c>
      <c r="M726" s="7" t="str">
        <f>IF(tabla_base[[#This Row],[Rendimiento_por_hectarea_ton]]&gt;tabla_base[[#This Row],[percentil_0,75]],"Sí","No")</f>
        <v>No</v>
      </c>
      <c r="N726" s="3">
        <v>0.88</v>
      </c>
      <c r="O726" t="s">
        <v>20</v>
      </c>
    </row>
    <row r="727" spans="1:15" x14ac:dyDescent="0.35">
      <c r="A727" t="s">
        <v>761</v>
      </c>
      <c r="B727" t="s">
        <v>22</v>
      </c>
      <c r="C727" t="s">
        <v>17</v>
      </c>
      <c r="D727" t="s">
        <v>31</v>
      </c>
      <c r="E727" s="3">
        <v>34.659999999999997</v>
      </c>
      <c r="F727" s="3">
        <v>6.39</v>
      </c>
      <c r="G727" s="3">
        <v>21.29</v>
      </c>
      <c r="H727" s="4">
        <v>107.2</v>
      </c>
      <c r="I727" s="3">
        <v>57.49</v>
      </c>
      <c r="J727" t="s">
        <v>19</v>
      </c>
      <c r="K727" s="4">
        <v>3.32456</v>
      </c>
      <c r="L727" s="6" cm="1">
        <f t="array" ref="L727">_xlfn.PERCENTILE.INC(_xlfn._xlws.FILTER(tabla_base[Rendimiento_por_hectarea_ton], tabla_base[tipo_cultivo]=tabla_base[[#This Row],[tipo_cultivo]]), 0.75)</f>
        <v>5.1742550000000005</v>
      </c>
      <c r="M727" s="7" t="str">
        <f>IF(tabla_base[[#This Row],[Rendimiento_por_hectarea_ton]]&gt;tabla_base[[#This Row],[percentil_0,75]],"Sí","No")</f>
        <v>No</v>
      </c>
      <c r="N727" s="3">
        <v>0.73</v>
      </c>
      <c r="O727" t="s">
        <v>26</v>
      </c>
    </row>
    <row r="728" spans="1:15" x14ac:dyDescent="0.35">
      <c r="A728" t="s">
        <v>762</v>
      </c>
      <c r="B728" t="s">
        <v>544</v>
      </c>
      <c r="C728" t="s">
        <v>17</v>
      </c>
      <c r="D728" t="s">
        <v>31</v>
      </c>
      <c r="E728" s="3">
        <v>39.08</v>
      </c>
      <c r="F728" s="3">
        <v>7.04</v>
      </c>
      <c r="G728" s="3">
        <v>29.77</v>
      </c>
      <c r="H728" s="4">
        <v>182.31</v>
      </c>
      <c r="I728" s="3">
        <v>55.78</v>
      </c>
      <c r="J728" t="s">
        <v>37</v>
      </c>
      <c r="K728" s="4">
        <v>3.4805600000000001</v>
      </c>
      <c r="L728" s="6" cm="1">
        <f t="array" ref="L728">_xlfn.PERCENTILE.INC(_xlfn._xlws.FILTER(tabla_base[Rendimiento_por_hectarea_ton], tabla_base[tipo_cultivo]=tabla_base[[#This Row],[tipo_cultivo]]), 0.75)</f>
        <v>5.1742550000000005</v>
      </c>
      <c r="M728" s="7" t="str">
        <f>IF(tabla_base[[#This Row],[Rendimiento_por_hectarea_ton]]&gt;tabla_base[[#This Row],[percentil_0,75]],"Sí","No")</f>
        <v>No</v>
      </c>
      <c r="N728" s="3">
        <v>0.76</v>
      </c>
      <c r="O728" t="s">
        <v>19</v>
      </c>
    </row>
    <row r="729" spans="1:15" x14ac:dyDescent="0.35">
      <c r="A729" t="s">
        <v>763</v>
      </c>
      <c r="B729" t="s">
        <v>22</v>
      </c>
      <c r="C729" t="s">
        <v>17</v>
      </c>
      <c r="D729" t="s">
        <v>31</v>
      </c>
      <c r="E729" s="3">
        <v>23.83</v>
      </c>
      <c r="F729" s="3">
        <v>6.44</v>
      </c>
      <c r="G729" s="3">
        <v>15.13</v>
      </c>
      <c r="H729" s="4">
        <v>249.74</v>
      </c>
      <c r="I729" s="3">
        <v>86.72</v>
      </c>
      <c r="J729" t="s">
        <v>19</v>
      </c>
      <c r="K729" s="4">
        <v>2.82315</v>
      </c>
      <c r="L729" s="6" cm="1">
        <f t="array" ref="L729">_xlfn.PERCENTILE.INC(_xlfn._xlws.FILTER(tabla_base[Rendimiento_por_hectarea_ton], tabla_base[tipo_cultivo]=tabla_base[[#This Row],[tipo_cultivo]]), 0.75)</f>
        <v>5.1742550000000005</v>
      </c>
      <c r="M729" s="7" t="str">
        <f>IF(tabla_base[[#This Row],[Rendimiento_por_hectarea_ton]]&gt;tabla_base[[#This Row],[percentil_0,75]],"Sí","No")</f>
        <v>No</v>
      </c>
      <c r="N729" s="3">
        <v>0.84</v>
      </c>
      <c r="O729" t="s">
        <v>26</v>
      </c>
    </row>
    <row r="730" spans="1:15" x14ac:dyDescent="0.35">
      <c r="A730" t="s">
        <v>764</v>
      </c>
      <c r="B730" t="s">
        <v>544</v>
      </c>
      <c r="C730" t="s">
        <v>30</v>
      </c>
      <c r="D730" t="s">
        <v>547</v>
      </c>
      <c r="E730" s="3">
        <v>26.79</v>
      </c>
      <c r="F730" s="3">
        <v>6.65</v>
      </c>
      <c r="G730" s="3">
        <v>21.33</v>
      </c>
      <c r="H730" s="4">
        <v>60.34</v>
      </c>
      <c r="I730" s="3">
        <v>76.88</v>
      </c>
      <c r="J730" t="s">
        <v>19</v>
      </c>
      <c r="K730" s="4">
        <v>5.1544699999999999</v>
      </c>
      <c r="L730" s="6" cm="1">
        <f t="array" ref="L730">_xlfn.PERCENTILE.INC(_xlfn._xlws.FILTER(tabla_base[Rendimiento_por_hectarea_ton], tabla_base[tipo_cultivo]=tabla_base[[#This Row],[tipo_cultivo]]), 0.75)</f>
        <v>5.2323700000000004</v>
      </c>
      <c r="M730" s="7" t="str">
        <f>IF(tabla_base[[#This Row],[Rendimiento_por_hectarea_ton]]&gt;tabla_base[[#This Row],[percentil_0,75]],"Sí","No")</f>
        <v>No</v>
      </c>
      <c r="N730" s="3">
        <v>0.66</v>
      </c>
      <c r="O730" t="s">
        <v>20</v>
      </c>
    </row>
    <row r="731" spans="1:15" x14ac:dyDescent="0.35">
      <c r="A731" t="s">
        <v>765</v>
      </c>
      <c r="B731" t="s">
        <v>22</v>
      </c>
      <c r="C731" t="s">
        <v>30</v>
      </c>
      <c r="D731" t="s">
        <v>547</v>
      </c>
      <c r="E731" s="3">
        <v>15.55</v>
      </c>
      <c r="F731" s="3">
        <v>7.48</v>
      </c>
      <c r="G731" s="3">
        <v>31.39</v>
      </c>
      <c r="H731" s="4">
        <v>226.24</v>
      </c>
      <c r="I731" s="3">
        <v>87.49</v>
      </c>
      <c r="J731" t="s">
        <v>25</v>
      </c>
      <c r="K731" s="4">
        <v>4.8291500000000003</v>
      </c>
      <c r="L731" s="6" cm="1">
        <f t="array" ref="L731">_xlfn.PERCENTILE.INC(_xlfn._xlws.FILTER(tabla_base[Rendimiento_por_hectarea_ton], tabla_base[tipo_cultivo]=tabla_base[[#This Row],[tipo_cultivo]]), 0.75)</f>
        <v>5.2323700000000004</v>
      </c>
      <c r="M731" s="7" t="str">
        <f>IF(tabla_base[[#This Row],[Rendimiento_por_hectarea_ton]]&gt;tabla_base[[#This Row],[percentil_0,75]],"Sí","No")</f>
        <v>No</v>
      </c>
      <c r="N731" s="3">
        <v>0.61</v>
      </c>
      <c r="O731" t="s">
        <v>19</v>
      </c>
    </row>
    <row r="732" spans="1:15" x14ac:dyDescent="0.35">
      <c r="A732" t="s">
        <v>766</v>
      </c>
      <c r="B732" t="s">
        <v>544</v>
      </c>
      <c r="C732" t="s">
        <v>30</v>
      </c>
      <c r="D732" t="s">
        <v>31</v>
      </c>
      <c r="E732" s="3">
        <v>15.55</v>
      </c>
      <c r="F732" s="3">
        <v>5.63</v>
      </c>
      <c r="G732" s="3">
        <v>27.08</v>
      </c>
      <c r="H732" s="4">
        <v>258.77</v>
      </c>
      <c r="I732" s="3">
        <v>65.31</v>
      </c>
      <c r="J732" t="s">
        <v>19</v>
      </c>
      <c r="K732" s="4">
        <v>4.5168499999999998</v>
      </c>
      <c r="L732" s="6" cm="1">
        <f t="array" ref="L732">_xlfn.PERCENTILE.INC(_xlfn._xlws.FILTER(tabla_base[Rendimiento_por_hectarea_ton], tabla_base[tipo_cultivo]=tabla_base[[#This Row],[tipo_cultivo]]), 0.75)</f>
        <v>5.1742550000000005</v>
      </c>
      <c r="M732" s="7" t="str">
        <f>IF(tabla_base[[#This Row],[Rendimiento_por_hectarea_ton]]&gt;tabla_base[[#This Row],[percentil_0,75]],"Sí","No")</f>
        <v>No</v>
      </c>
      <c r="N732" s="3">
        <v>0.69</v>
      </c>
      <c r="O732" t="s">
        <v>20</v>
      </c>
    </row>
    <row r="733" spans="1:15" x14ac:dyDescent="0.35">
      <c r="A733" t="s">
        <v>767</v>
      </c>
      <c r="B733" t="s">
        <v>22</v>
      </c>
      <c r="C733" t="s">
        <v>23</v>
      </c>
      <c r="D733" t="s">
        <v>24</v>
      </c>
      <c r="E733" s="3">
        <v>23.55</v>
      </c>
      <c r="F733" s="3">
        <v>6.11</v>
      </c>
      <c r="G733" s="3">
        <v>31.91</v>
      </c>
      <c r="H733" s="4">
        <v>144.59</v>
      </c>
      <c r="I733" s="3">
        <v>67.75</v>
      </c>
      <c r="J733" t="s">
        <v>28</v>
      </c>
      <c r="K733" s="4">
        <v>4.62155</v>
      </c>
      <c r="L733" s="6" cm="1">
        <f t="array" ref="L733">_xlfn.PERCENTILE.INC(_xlfn._xlws.FILTER(tabla_base[Rendimiento_por_hectarea_ton], tabla_base[tipo_cultivo]=tabla_base[[#This Row],[tipo_cultivo]]), 0.75)</f>
        <v>5.3984449999999997</v>
      </c>
      <c r="M733" s="7" t="str">
        <f>IF(tabla_base[[#This Row],[Rendimiento_por_hectarea_ton]]&gt;tabla_base[[#This Row],[percentil_0,75]],"Sí","No")</f>
        <v>No</v>
      </c>
      <c r="N733" s="3">
        <v>0.67</v>
      </c>
      <c r="O733" t="s">
        <v>26</v>
      </c>
    </row>
    <row r="734" spans="1:15" x14ac:dyDescent="0.35">
      <c r="A734" t="s">
        <v>768</v>
      </c>
      <c r="B734" t="s">
        <v>544</v>
      </c>
      <c r="C734" t="s">
        <v>30</v>
      </c>
      <c r="D734" t="s">
        <v>24</v>
      </c>
      <c r="E734" s="3">
        <v>26.93</v>
      </c>
      <c r="F734" s="3">
        <v>7.41</v>
      </c>
      <c r="G734" s="3">
        <v>29.04</v>
      </c>
      <c r="H734" s="4">
        <v>149.11000000000001</v>
      </c>
      <c r="I734" s="3">
        <v>72.19</v>
      </c>
      <c r="J734" t="s">
        <v>37</v>
      </c>
      <c r="K734" s="4">
        <v>4.0367300000000004</v>
      </c>
      <c r="L734" s="6" cm="1">
        <f t="array" ref="L734">_xlfn.PERCENTILE.INC(_xlfn._xlws.FILTER(tabla_base[Rendimiento_por_hectarea_ton], tabla_base[tipo_cultivo]=tabla_base[[#This Row],[tipo_cultivo]]), 0.75)</f>
        <v>5.3984449999999997</v>
      </c>
      <c r="M734" s="7" t="str">
        <f>IF(tabla_base[[#This Row],[Rendimiento_por_hectarea_ton]]&gt;tabla_base[[#This Row],[percentil_0,75]],"Sí","No")</f>
        <v>No</v>
      </c>
      <c r="N734" s="3">
        <v>0.69</v>
      </c>
      <c r="O734" t="s">
        <v>19</v>
      </c>
    </row>
    <row r="735" spans="1:15" x14ac:dyDescent="0.35">
      <c r="A735" t="s">
        <v>769</v>
      </c>
      <c r="B735" t="s">
        <v>22</v>
      </c>
      <c r="C735" t="s">
        <v>30</v>
      </c>
      <c r="D735" t="s">
        <v>31</v>
      </c>
      <c r="E735" s="3">
        <v>23.14</v>
      </c>
      <c r="F735" s="3">
        <v>6.42</v>
      </c>
      <c r="G735" s="3">
        <v>16.649999999999999</v>
      </c>
      <c r="H735" s="4">
        <v>296.58999999999997</v>
      </c>
      <c r="I735" s="3">
        <v>81.44</v>
      </c>
      <c r="J735" t="s">
        <v>19</v>
      </c>
      <c r="K735" s="4">
        <v>3.0660400000000001</v>
      </c>
      <c r="L735" s="6" cm="1">
        <f t="array" ref="L735">_xlfn.PERCENTILE.INC(_xlfn._xlws.FILTER(tabla_base[Rendimiento_por_hectarea_ton], tabla_base[tipo_cultivo]=tabla_base[[#This Row],[tipo_cultivo]]), 0.75)</f>
        <v>5.1742550000000005</v>
      </c>
      <c r="M735" s="7" t="str">
        <f>IF(tabla_base[[#This Row],[Rendimiento_por_hectarea_ton]]&gt;tabla_base[[#This Row],[percentil_0,75]],"Sí","No")</f>
        <v>No</v>
      </c>
      <c r="N735" s="3">
        <v>0.67</v>
      </c>
      <c r="O735" t="s">
        <v>20</v>
      </c>
    </row>
    <row r="736" spans="1:15" x14ac:dyDescent="0.35">
      <c r="A736" t="s">
        <v>770</v>
      </c>
      <c r="B736" t="s">
        <v>22</v>
      </c>
      <c r="C736" t="s">
        <v>30</v>
      </c>
      <c r="D736" t="s">
        <v>31</v>
      </c>
      <c r="E736" s="3">
        <v>27.65</v>
      </c>
      <c r="F736" s="3">
        <v>7.15</v>
      </c>
      <c r="G736" s="3">
        <v>16.309999999999999</v>
      </c>
      <c r="H736" s="4">
        <v>177.46</v>
      </c>
      <c r="I736" s="3">
        <v>87.4</v>
      </c>
      <c r="J736" t="s">
        <v>28</v>
      </c>
      <c r="K736" s="4">
        <v>3.0310999999999999</v>
      </c>
      <c r="L736" s="6" cm="1">
        <f t="array" ref="L736">_xlfn.PERCENTILE.INC(_xlfn._xlws.FILTER(tabla_base[Rendimiento_por_hectarea_ton], tabla_base[tipo_cultivo]=tabla_base[[#This Row],[tipo_cultivo]]), 0.75)</f>
        <v>5.1742550000000005</v>
      </c>
      <c r="M736" s="7" t="str">
        <f>IF(tabla_base[[#This Row],[Rendimiento_por_hectarea_ton]]&gt;tabla_base[[#This Row],[percentil_0,75]],"Sí","No")</f>
        <v>No</v>
      </c>
      <c r="N736" s="3">
        <v>0.81</v>
      </c>
      <c r="O736" t="s">
        <v>20</v>
      </c>
    </row>
    <row r="737" spans="1:15" x14ac:dyDescent="0.35">
      <c r="A737" t="s">
        <v>771</v>
      </c>
      <c r="B737" t="s">
        <v>16</v>
      </c>
      <c r="C737" t="s">
        <v>23</v>
      </c>
      <c r="D737" t="s">
        <v>33</v>
      </c>
      <c r="E737" s="3">
        <v>37.119999999999997</v>
      </c>
      <c r="F737" s="3">
        <v>6.36</v>
      </c>
      <c r="G737" s="3">
        <v>25.25</v>
      </c>
      <c r="H737" s="4">
        <v>283.58</v>
      </c>
      <c r="I737" s="3">
        <v>76.540000000000006</v>
      </c>
      <c r="J737" t="s">
        <v>37</v>
      </c>
      <c r="K737" s="4">
        <v>6.3043399999999998</v>
      </c>
      <c r="L737" s="6" cm="1">
        <f t="array" ref="L737">_xlfn.PERCENTILE.INC(_xlfn._xlws.FILTER(tabla_base[Rendimiento_por_hectarea_ton], tabla_base[tipo_cultivo]=tabla_base[[#This Row],[tipo_cultivo]]), 0.75)</f>
        <v>5.1635450000000001</v>
      </c>
      <c r="M737" s="7" t="str">
        <f>IF(tabla_base[[#This Row],[Rendimiento_por_hectarea_ton]]&gt;tabla_base[[#This Row],[percentil_0,75]],"Sí","No")</f>
        <v>Sí</v>
      </c>
      <c r="N737" s="3">
        <v>0.56000000000000005</v>
      </c>
      <c r="O737" t="s">
        <v>26</v>
      </c>
    </row>
    <row r="738" spans="1:15" x14ac:dyDescent="0.35">
      <c r="A738" t="s">
        <v>772</v>
      </c>
      <c r="B738" t="s">
        <v>16</v>
      </c>
      <c r="C738" t="s">
        <v>23</v>
      </c>
      <c r="D738" t="s">
        <v>24</v>
      </c>
      <c r="E738" s="3">
        <v>32.51</v>
      </c>
      <c r="F738" s="3">
        <v>7.16</v>
      </c>
      <c r="G738" s="3">
        <v>19.25</v>
      </c>
      <c r="H738" s="4">
        <v>197.81</v>
      </c>
      <c r="I738" s="3">
        <v>51.11</v>
      </c>
      <c r="J738" t="s">
        <v>28</v>
      </c>
      <c r="K738" s="4">
        <v>5.8232799999999996</v>
      </c>
      <c r="L738" s="6" cm="1">
        <f t="array" ref="L738">_xlfn.PERCENTILE.INC(_xlfn._xlws.FILTER(tabla_base[Rendimiento_por_hectarea_ton], tabla_base[tipo_cultivo]=tabla_base[[#This Row],[tipo_cultivo]]), 0.75)</f>
        <v>5.3984449999999997</v>
      </c>
      <c r="M738" s="7" t="str">
        <f>IF(tabla_base[[#This Row],[Rendimiento_por_hectarea_ton]]&gt;tabla_base[[#This Row],[percentil_0,75]],"Sí","No")</f>
        <v>Sí</v>
      </c>
      <c r="N738" s="3">
        <v>0.6</v>
      </c>
      <c r="O738" t="s">
        <v>26</v>
      </c>
    </row>
    <row r="739" spans="1:15" x14ac:dyDescent="0.35">
      <c r="A739" t="s">
        <v>773</v>
      </c>
      <c r="B739" t="s">
        <v>16</v>
      </c>
      <c r="C739" t="s">
        <v>17</v>
      </c>
      <c r="D739" t="s">
        <v>24</v>
      </c>
      <c r="E739" s="3">
        <v>37.299999999999997</v>
      </c>
      <c r="F739" s="3">
        <v>6.11</v>
      </c>
      <c r="G739" s="3">
        <v>29.69</v>
      </c>
      <c r="H739" s="4">
        <v>228.8</v>
      </c>
      <c r="I739" s="3">
        <v>85.56</v>
      </c>
      <c r="J739" t="s">
        <v>19</v>
      </c>
      <c r="K739" s="4">
        <v>3.9218099999999998</v>
      </c>
      <c r="L739" s="6" cm="1">
        <f t="array" ref="L739">_xlfn.PERCENTILE.INC(_xlfn._xlws.FILTER(tabla_base[Rendimiento_por_hectarea_ton], tabla_base[tipo_cultivo]=tabla_base[[#This Row],[tipo_cultivo]]), 0.75)</f>
        <v>5.3984449999999997</v>
      </c>
      <c r="M739" s="7" t="str">
        <f>IF(tabla_base[[#This Row],[Rendimiento_por_hectarea_ton]]&gt;tabla_base[[#This Row],[percentil_0,75]],"Sí","No")</f>
        <v>No</v>
      </c>
      <c r="N739" s="3">
        <v>0.51</v>
      </c>
      <c r="O739" t="s">
        <v>19</v>
      </c>
    </row>
    <row r="740" spans="1:15" x14ac:dyDescent="0.35">
      <c r="A740" t="s">
        <v>774</v>
      </c>
      <c r="B740" t="s">
        <v>22</v>
      </c>
      <c r="C740" t="s">
        <v>30</v>
      </c>
      <c r="D740" t="s">
        <v>31</v>
      </c>
      <c r="E740" s="3">
        <v>34.71</v>
      </c>
      <c r="F740" s="3">
        <v>7.11</v>
      </c>
      <c r="G740" s="3">
        <v>25.04</v>
      </c>
      <c r="H740" s="4">
        <v>266.54000000000002</v>
      </c>
      <c r="I740" s="3">
        <v>71.34</v>
      </c>
      <c r="J740" t="s">
        <v>25</v>
      </c>
      <c r="K740" s="4">
        <v>3.9655399999999998</v>
      </c>
      <c r="L740" s="6" cm="1">
        <f t="array" ref="L740">_xlfn.PERCENTILE.INC(_xlfn._xlws.FILTER(tabla_base[Rendimiento_por_hectarea_ton], tabla_base[tipo_cultivo]=tabla_base[[#This Row],[tipo_cultivo]]), 0.75)</f>
        <v>5.1742550000000005</v>
      </c>
      <c r="M740" s="7" t="str">
        <f>IF(tabla_base[[#This Row],[Rendimiento_por_hectarea_ton]]&gt;tabla_base[[#This Row],[percentil_0,75]],"Sí","No")</f>
        <v>No</v>
      </c>
      <c r="N740" s="3">
        <v>0.56000000000000005</v>
      </c>
      <c r="O740" t="s">
        <v>20</v>
      </c>
    </row>
    <row r="741" spans="1:15" x14ac:dyDescent="0.35">
      <c r="A741" t="s">
        <v>775</v>
      </c>
      <c r="B741" t="s">
        <v>22</v>
      </c>
      <c r="C741" t="s">
        <v>30</v>
      </c>
      <c r="D741" t="s">
        <v>35</v>
      </c>
      <c r="E741" s="3">
        <v>37.47</v>
      </c>
      <c r="F741" s="3">
        <v>6.96</v>
      </c>
      <c r="G741" s="3">
        <v>29.57</v>
      </c>
      <c r="H741" s="4">
        <v>285.12</v>
      </c>
      <c r="I741" s="3">
        <v>51.23</v>
      </c>
      <c r="J741" t="s">
        <v>25</v>
      </c>
      <c r="K741" s="4">
        <v>6.4165999999999999</v>
      </c>
      <c r="L741" s="6" cm="1">
        <f t="array" ref="L741">_xlfn.PERCENTILE.INC(_xlfn._xlws.FILTER(tabla_base[Rendimiento_por_hectarea_ton], tabla_base[tipo_cultivo]=tabla_base[[#This Row],[tipo_cultivo]]), 0.75)</f>
        <v>5.1318025</v>
      </c>
      <c r="M741" s="7" t="str">
        <f>IF(tabla_base[[#This Row],[Rendimiento_por_hectarea_ton]]&gt;tabla_base[[#This Row],[percentil_0,75]],"Sí","No")</f>
        <v>Sí</v>
      </c>
      <c r="N741" s="3">
        <v>0.61</v>
      </c>
      <c r="O741" t="s">
        <v>19</v>
      </c>
    </row>
    <row r="742" spans="1:15" x14ac:dyDescent="0.35">
      <c r="A742" t="s">
        <v>776</v>
      </c>
      <c r="B742" t="s">
        <v>16</v>
      </c>
      <c r="C742" t="s">
        <v>17</v>
      </c>
      <c r="D742" t="s">
        <v>547</v>
      </c>
      <c r="E742" s="3">
        <v>32.56</v>
      </c>
      <c r="F742" s="3">
        <v>7.24</v>
      </c>
      <c r="G742" s="3">
        <v>29.43</v>
      </c>
      <c r="H742" s="4">
        <v>153</v>
      </c>
      <c r="I742" s="3">
        <v>89.91</v>
      </c>
      <c r="J742" t="s">
        <v>37</v>
      </c>
      <c r="K742" s="4">
        <v>6.2364300000000004</v>
      </c>
      <c r="L742" s="6" cm="1">
        <f t="array" ref="L742">_xlfn.PERCENTILE.INC(_xlfn._xlws.FILTER(tabla_base[Rendimiento_por_hectarea_ton], tabla_base[tipo_cultivo]=tabla_base[[#This Row],[tipo_cultivo]]), 0.75)</f>
        <v>5.2323700000000004</v>
      </c>
      <c r="M742" s="7" t="str">
        <f>IF(tabla_base[[#This Row],[Rendimiento_por_hectarea_ton]]&gt;tabla_base[[#This Row],[percentil_0,75]],"Sí","No")</f>
        <v>Sí</v>
      </c>
      <c r="N742" s="3">
        <v>0.72</v>
      </c>
      <c r="O742" t="s">
        <v>26</v>
      </c>
    </row>
    <row r="743" spans="1:15" x14ac:dyDescent="0.35">
      <c r="A743" t="s">
        <v>777</v>
      </c>
      <c r="B743" t="s">
        <v>16</v>
      </c>
      <c r="C743" t="s">
        <v>17</v>
      </c>
      <c r="D743" t="s">
        <v>24</v>
      </c>
      <c r="E743" s="3">
        <v>35.61</v>
      </c>
      <c r="F743" s="3">
        <v>6.63</v>
      </c>
      <c r="G743" s="3">
        <v>28.7</v>
      </c>
      <c r="H743" s="4">
        <v>132.25</v>
      </c>
      <c r="I743" s="3">
        <v>50.67</v>
      </c>
      <c r="J743" t="s">
        <v>19</v>
      </c>
      <c r="K743" s="4">
        <v>3.4288599999999998</v>
      </c>
      <c r="L743" s="6" cm="1">
        <f t="array" ref="L743">_xlfn.PERCENTILE.INC(_xlfn._xlws.FILTER(tabla_base[Rendimiento_por_hectarea_ton], tabla_base[tipo_cultivo]=tabla_base[[#This Row],[tipo_cultivo]]), 0.75)</f>
        <v>5.3984449999999997</v>
      </c>
      <c r="M743" s="7" t="str">
        <f>IF(tabla_base[[#This Row],[Rendimiento_por_hectarea_ton]]&gt;tabla_base[[#This Row],[percentil_0,75]],"Sí","No")</f>
        <v>No</v>
      </c>
      <c r="N743" s="3">
        <v>0.54</v>
      </c>
      <c r="O743" t="s">
        <v>20</v>
      </c>
    </row>
    <row r="744" spans="1:15" x14ac:dyDescent="0.35">
      <c r="A744" t="s">
        <v>778</v>
      </c>
      <c r="B744" t="s">
        <v>16</v>
      </c>
      <c r="C744" t="s">
        <v>17</v>
      </c>
      <c r="D744" t="s">
        <v>35</v>
      </c>
      <c r="E744" s="3">
        <v>24.02</v>
      </c>
      <c r="F744" s="3">
        <v>6.87</v>
      </c>
      <c r="G744" s="3">
        <v>31.08</v>
      </c>
      <c r="H744" s="4">
        <v>186.63</v>
      </c>
      <c r="I744" s="3">
        <v>61.12</v>
      </c>
      <c r="J744" t="s">
        <v>37</v>
      </c>
      <c r="K744" s="4">
        <v>5.4633200000000004</v>
      </c>
      <c r="L744" s="6" cm="1">
        <f t="array" ref="L744">_xlfn.PERCENTILE.INC(_xlfn._xlws.FILTER(tabla_base[Rendimiento_por_hectarea_ton], tabla_base[tipo_cultivo]=tabla_base[[#This Row],[tipo_cultivo]]), 0.75)</f>
        <v>5.1318025</v>
      </c>
      <c r="M744" s="7" t="str">
        <f>IF(tabla_base[[#This Row],[Rendimiento_por_hectarea_ton]]&gt;tabla_base[[#This Row],[percentil_0,75]],"Sí","No")</f>
        <v>Sí</v>
      </c>
      <c r="N744" s="3">
        <v>0.72</v>
      </c>
      <c r="O744" t="s">
        <v>26</v>
      </c>
    </row>
    <row r="745" spans="1:15" x14ac:dyDescent="0.35">
      <c r="A745" t="s">
        <v>779</v>
      </c>
      <c r="B745" t="s">
        <v>16</v>
      </c>
      <c r="C745" t="s">
        <v>17</v>
      </c>
      <c r="D745" t="s">
        <v>35</v>
      </c>
      <c r="E745" s="3">
        <v>22.87</v>
      </c>
      <c r="F745" s="3">
        <v>6.33</v>
      </c>
      <c r="G745" s="3">
        <v>23.58</v>
      </c>
      <c r="H745" s="4">
        <v>203.73</v>
      </c>
      <c r="I745" s="3">
        <v>74.09</v>
      </c>
      <c r="J745" t="s">
        <v>28</v>
      </c>
      <c r="K745" s="4">
        <v>5.3021599999999998</v>
      </c>
      <c r="L745" s="6" cm="1">
        <f t="array" ref="L745">_xlfn.PERCENTILE.INC(_xlfn._xlws.FILTER(tabla_base[Rendimiento_por_hectarea_ton], tabla_base[tipo_cultivo]=tabla_base[[#This Row],[tipo_cultivo]]), 0.75)</f>
        <v>5.1318025</v>
      </c>
      <c r="M745" s="7" t="str">
        <f>IF(tabla_base[[#This Row],[Rendimiento_por_hectarea_ton]]&gt;tabla_base[[#This Row],[percentil_0,75]],"Sí","No")</f>
        <v>Sí</v>
      </c>
      <c r="N745" s="3">
        <v>0.61</v>
      </c>
      <c r="O745" t="s">
        <v>19</v>
      </c>
    </row>
    <row r="746" spans="1:15" x14ac:dyDescent="0.35">
      <c r="A746" t="s">
        <v>780</v>
      </c>
      <c r="B746" t="s">
        <v>16</v>
      </c>
      <c r="C746" t="s">
        <v>23</v>
      </c>
      <c r="D746" t="s">
        <v>547</v>
      </c>
      <c r="E746" s="3">
        <v>26.84</v>
      </c>
      <c r="F746" s="3">
        <v>6.4</v>
      </c>
      <c r="G746" s="3">
        <v>29.78</v>
      </c>
      <c r="H746" s="4">
        <v>149.57</v>
      </c>
      <c r="I746" s="3">
        <v>58.93</v>
      </c>
      <c r="J746" t="s">
        <v>19</v>
      </c>
      <c r="K746" s="4">
        <v>6.1594300000000004</v>
      </c>
      <c r="L746" s="6" cm="1">
        <f t="array" ref="L746">_xlfn.PERCENTILE.INC(_xlfn._xlws.FILTER(tabla_base[Rendimiento_por_hectarea_ton], tabla_base[tipo_cultivo]=tabla_base[[#This Row],[tipo_cultivo]]), 0.75)</f>
        <v>5.2323700000000004</v>
      </c>
      <c r="M746" s="7" t="str">
        <f>IF(tabla_base[[#This Row],[Rendimiento_por_hectarea_ton]]&gt;tabla_base[[#This Row],[percentil_0,75]],"Sí","No")</f>
        <v>Sí</v>
      </c>
      <c r="N746" s="3">
        <v>0.74</v>
      </c>
      <c r="O746" t="s">
        <v>19</v>
      </c>
    </row>
    <row r="747" spans="1:15" x14ac:dyDescent="0.35">
      <c r="A747" t="s">
        <v>781</v>
      </c>
      <c r="B747" t="s">
        <v>16</v>
      </c>
      <c r="C747" t="s">
        <v>23</v>
      </c>
      <c r="D747" t="s">
        <v>24</v>
      </c>
      <c r="E747" s="3">
        <v>24.3</v>
      </c>
      <c r="F747" s="3">
        <v>6.24</v>
      </c>
      <c r="G747" s="3">
        <v>19.260000000000002</v>
      </c>
      <c r="H747" s="4">
        <v>168.76</v>
      </c>
      <c r="I747" s="3">
        <v>68.989999999999995</v>
      </c>
      <c r="J747" t="s">
        <v>28</v>
      </c>
      <c r="K747" s="4">
        <v>4.1785899999999998</v>
      </c>
      <c r="L747" s="6" cm="1">
        <f t="array" ref="L747">_xlfn.PERCENTILE.INC(_xlfn._xlws.FILTER(tabla_base[Rendimiento_por_hectarea_ton], tabla_base[tipo_cultivo]=tabla_base[[#This Row],[tipo_cultivo]]), 0.75)</f>
        <v>5.3984449999999997</v>
      </c>
      <c r="M747" s="7" t="str">
        <f>IF(tabla_base[[#This Row],[Rendimiento_por_hectarea_ton]]&gt;tabla_base[[#This Row],[percentil_0,75]],"Sí","No")</f>
        <v>No</v>
      </c>
      <c r="N747" s="3">
        <v>0.66</v>
      </c>
      <c r="O747" t="s">
        <v>20</v>
      </c>
    </row>
    <row r="748" spans="1:15" x14ac:dyDescent="0.35">
      <c r="A748" t="s">
        <v>782</v>
      </c>
      <c r="B748" t="s">
        <v>16</v>
      </c>
      <c r="C748" t="s">
        <v>23</v>
      </c>
      <c r="D748" t="s">
        <v>33</v>
      </c>
      <c r="E748" s="3">
        <v>38.07</v>
      </c>
      <c r="F748" s="3">
        <v>6.56</v>
      </c>
      <c r="G748" s="3">
        <v>28.28</v>
      </c>
      <c r="H748" s="4">
        <v>265.3</v>
      </c>
      <c r="I748" s="3">
        <v>63.11</v>
      </c>
      <c r="J748" t="s">
        <v>28</v>
      </c>
      <c r="K748" s="4">
        <v>2.7659099999999999</v>
      </c>
      <c r="L748" s="6" cm="1">
        <f t="array" ref="L748">_xlfn.PERCENTILE.INC(_xlfn._xlws.FILTER(tabla_base[Rendimiento_por_hectarea_ton], tabla_base[tipo_cultivo]=tabla_base[[#This Row],[tipo_cultivo]]), 0.75)</f>
        <v>5.1635450000000001</v>
      </c>
      <c r="M748" s="7" t="str">
        <f>IF(tabla_base[[#This Row],[Rendimiento_por_hectarea_ton]]&gt;tabla_base[[#This Row],[percentil_0,75]],"Sí","No")</f>
        <v>No</v>
      </c>
      <c r="N748" s="3">
        <v>0.81</v>
      </c>
      <c r="O748" t="s">
        <v>19</v>
      </c>
    </row>
    <row r="749" spans="1:15" x14ac:dyDescent="0.35">
      <c r="A749" t="s">
        <v>783</v>
      </c>
      <c r="B749" t="s">
        <v>544</v>
      </c>
      <c r="C749" t="s">
        <v>17</v>
      </c>
      <c r="D749" t="s">
        <v>35</v>
      </c>
      <c r="E749" s="3">
        <v>31.81</v>
      </c>
      <c r="F749" s="3">
        <v>6.51</v>
      </c>
      <c r="G749" s="3">
        <v>26.1</v>
      </c>
      <c r="H749" s="4">
        <v>112.36</v>
      </c>
      <c r="I749" s="3">
        <v>80.27</v>
      </c>
      <c r="J749" t="s">
        <v>19</v>
      </c>
      <c r="K749" s="4">
        <v>6.25657</v>
      </c>
      <c r="L749" s="6" cm="1">
        <f t="array" ref="L749">_xlfn.PERCENTILE.INC(_xlfn._xlws.FILTER(tabla_base[Rendimiento_por_hectarea_ton], tabla_base[tipo_cultivo]=tabla_base[[#This Row],[tipo_cultivo]]), 0.75)</f>
        <v>5.1318025</v>
      </c>
      <c r="M749" s="7" t="str">
        <f>IF(tabla_base[[#This Row],[Rendimiento_por_hectarea_ton]]&gt;tabla_base[[#This Row],[percentil_0,75]],"Sí","No")</f>
        <v>Sí</v>
      </c>
      <c r="N749" s="3">
        <v>0.68</v>
      </c>
      <c r="O749" t="s">
        <v>26</v>
      </c>
    </row>
    <row r="750" spans="1:15" x14ac:dyDescent="0.35">
      <c r="A750" t="s">
        <v>784</v>
      </c>
      <c r="B750" t="s">
        <v>22</v>
      </c>
      <c r="C750" t="s">
        <v>40</v>
      </c>
      <c r="D750" t="s">
        <v>31</v>
      </c>
      <c r="E750" s="3">
        <v>17.100000000000001</v>
      </c>
      <c r="F750" s="3">
        <v>6.75</v>
      </c>
      <c r="G750" s="3">
        <v>28.67</v>
      </c>
      <c r="H750" s="4">
        <v>211.72</v>
      </c>
      <c r="I750" s="3">
        <v>76.05</v>
      </c>
      <c r="J750" t="s">
        <v>19</v>
      </c>
      <c r="K750" s="4">
        <v>4.08005</v>
      </c>
      <c r="L750" s="6" cm="1">
        <f t="array" ref="L750">_xlfn.PERCENTILE.INC(_xlfn._xlws.FILTER(tabla_base[Rendimiento_por_hectarea_ton], tabla_base[tipo_cultivo]=tabla_base[[#This Row],[tipo_cultivo]]), 0.75)</f>
        <v>5.1742550000000005</v>
      </c>
      <c r="M750" s="7" t="str">
        <f>IF(tabla_base[[#This Row],[Rendimiento_por_hectarea_ton]]&gt;tabla_base[[#This Row],[percentil_0,75]],"Sí","No")</f>
        <v>No</v>
      </c>
      <c r="N750" s="3">
        <v>0.63</v>
      </c>
      <c r="O750" t="s">
        <v>20</v>
      </c>
    </row>
    <row r="751" spans="1:15" x14ac:dyDescent="0.35">
      <c r="A751" t="s">
        <v>785</v>
      </c>
      <c r="B751" t="s">
        <v>16</v>
      </c>
      <c r="C751" t="s">
        <v>17</v>
      </c>
      <c r="D751" t="s">
        <v>18</v>
      </c>
      <c r="E751" s="3">
        <v>32.65</v>
      </c>
      <c r="F751" s="3">
        <v>6.53</v>
      </c>
      <c r="G751" s="3">
        <v>27.61</v>
      </c>
      <c r="H751" s="4">
        <v>51.42</v>
      </c>
      <c r="I751" s="3">
        <v>60.2</v>
      </c>
      <c r="J751" t="s">
        <v>28</v>
      </c>
      <c r="K751" s="4">
        <v>5.3782899999999998</v>
      </c>
      <c r="L751" s="6" cm="1">
        <f t="array" ref="L751">_xlfn.PERCENTILE.INC(_xlfn._xlws.FILTER(tabla_base[Rendimiento_por_hectarea_ton], tabla_base[tipo_cultivo]=tabla_base[[#This Row],[tipo_cultivo]]), 0.75)</f>
        <v>5.2079399999999998</v>
      </c>
      <c r="M751" s="7" t="str">
        <f>IF(tabla_base[[#This Row],[Rendimiento_por_hectarea_ton]]&gt;tabla_base[[#This Row],[percentil_0,75]],"Sí","No")</f>
        <v>Sí</v>
      </c>
      <c r="N751" s="3">
        <v>0.85</v>
      </c>
      <c r="O751" t="s">
        <v>26</v>
      </c>
    </row>
    <row r="752" spans="1:15" x14ac:dyDescent="0.35">
      <c r="A752" t="s">
        <v>786</v>
      </c>
      <c r="B752" t="s">
        <v>22</v>
      </c>
      <c r="C752" t="s">
        <v>17</v>
      </c>
      <c r="D752" t="s">
        <v>18</v>
      </c>
      <c r="E752" s="3">
        <v>25.96</v>
      </c>
      <c r="F752" s="3">
        <v>6.67</v>
      </c>
      <c r="G752" s="3">
        <v>20.07</v>
      </c>
      <c r="H752" s="4">
        <v>245.87</v>
      </c>
      <c r="I752" s="3">
        <v>77.56</v>
      </c>
      <c r="J752" t="s">
        <v>28</v>
      </c>
      <c r="K752" s="4">
        <v>5.9013799999999996</v>
      </c>
      <c r="L752" s="6" cm="1">
        <f t="array" ref="L752">_xlfn.PERCENTILE.INC(_xlfn._xlws.FILTER(tabla_base[Rendimiento_por_hectarea_ton], tabla_base[tipo_cultivo]=tabla_base[[#This Row],[tipo_cultivo]]), 0.75)</f>
        <v>5.2079399999999998</v>
      </c>
      <c r="M752" s="7" t="str">
        <f>IF(tabla_base[[#This Row],[Rendimiento_por_hectarea_ton]]&gt;tabla_base[[#This Row],[percentil_0,75]],"Sí","No")</f>
        <v>Sí</v>
      </c>
      <c r="N752" s="3">
        <v>0.64</v>
      </c>
      <c r="O752" t="s">
        <v>20</v>
      </c>
    </row>
    <row r="753" spans="1:15" x14ac:dyDescent="0.35">
      <c r="A753" t="s">
        <v>787</v>
      </c>
      <c r="B753" t="s">
        <v>16</v>
      </c>
      <c r="C753" t="s">
        <v>30</v>
      </c>
      <c r="D753" t="s">
        <v>18</v>
      </c>
      <c r="E753" s="3">
        <v>32.28</v>
      </c>
      <c r="F753" s="3">
        <v>6.62</v>
      </c>
      <c r="G753" s="3">
        <v>19.61</v>
      </c>
      <c r="H753" s="4">
        <v>224.1</v>
      </c>
      <c r="I753" s="3">
        <v>77.709999999999994</v>
      </c>
      <c r="J753" t="s">
        <v>28</v>
      </c>
      <c r="K753" s="4">
        <v>3.8758400000000002</v>
      </c>
      <c r="L753" s="6" cm="1">
        <f t="array" ref="L753">_xlfn.PERCENTILE.INC(_xlfn._xlws.FILTER(tabla_base[Rendimiento_por_hectarea_ton], tabla_base[tipo_cultivo]=tabla_base[[#This Row],[tipo_cultivo]]), 0.75)</f>
        <v>5.2079399999999998</v>
      </c>
      <c r="M753" s="7" t="str">
        <f>IF(tabla_base[[#This Row],[Rendimiento_por_hectarea_ton]]&gt;tabla_base[[#This Row],[percentil_0,75]],"Sí","No")</f>
        <v>No</v>
      </c>
      <c r="N753" s="3">
        <v>0.59</v>
      </c>
      <c r="O753" t="s">
        <v>26</v>
      </c>
    </row>
    <row r="754" spans="1:15" x14ac:dyDescent="0.35">
      <c r="A754" t="s">
        <v>788</v>
      </c>
      <c r="B754" t="s">
        <v>22</v>
      </c>
      <c r="C754" t="s">
        <v>30</v>
      </c>
      <c r="D754" t="s">
        <v>33</v>
      </c>
      <c r="E754" s="3">
        <v>29.46</v>
      </c>
      <c r="F754" s="3">
        <v>6.51</v>
      </c>
      <c r="G754" s="3">
        <v>20.66</v>
      </c>
      <c r="H754" s="4">
        <v>238.86</v>
      </c>
      <c r="I754" s="3">
        <v>62.31</v>
      </c>
      <c r="J754" t="s">
        <v>25</v>
      </c>
      <c r="K754" s="4">
        <v>3.0834899999999998</v>
      </c>
      <c r="L754" s="6" cm="1">
        <f t="array" ref="L754">_xlfn.PERCENTILE.INC(_xlfn._xlws.FILTER(tabla_base[Rendimiento_por_hectarea_ton], tabla_base[tipo_cultivo]=tabla_base[[#This Row],[tipo_cultivo]]), 0.75)</f>
        <v>5.1635450000000001</v>
      </c>
      <c r="M754" s="7" t="str">
        <f>IF(tabla_base[[#This Row],[Rendimiento_por_hectarea_ton]]&gt;tabla_base[[#This Row],[percentil_0,75]],"Sí","No")</f>
        <v>No</v>
      </c>
      <c r="N754" s="3">
        <v>0.69</v>
      </c>
      <c r="O754" t="s">
        <v>19</v>
      </c>
    </row>
    <row r="755" spans="1:15" x14ac:dyDescent="0.35">
      <c r="A755" t="s">
        <v>789</v>
      </c>
      <c r="B755" t="s">
        <v>22</v>
      </c>
      <c r="C755" t="s">
        <v>17</v>
      </c>
      <c r="D755" t="s">
        <v>547</v>
      </c>
      <c r="E755" s="3">
        <v>18.97</v>
      </c>
      <c r="F755" s="3">
        <v>7.43</v>
      </c>
      <c r="G755" s="3">
        <v>31.06</v>
      </c>
      <c r="H755" s="4">
        <v>187.05</v>
      </c>
      <c r="I755" s="3">
        <v>70.05</v>
      </c>
      <c r="J755" t="s">
        <v>25</v>
      </c>
      <c r="K755" s="4">
        <v>3.5171999999999999</v>
      </c>
      <c r="L755" s="6" cm="1">
        <f t="array" ref="L755">_xlfn.PERCENTILE.INC(_xlfn._xlws.FILTER(tabla_base[Rendimiento_por_hectarea_ton], tabla_base[tipo_cultivo]=tabla_base[[#This Row],[tipo_cultivo]]), 0.75)</f>
        <v>5.2323700000000004</v>
      </c>
      <c r="M755" s="7" t="str">
        <f>IF(tabla_base[[#This Row],[Rendimiento_por_hectarea_ton]]&gt;tabla_base[[#This Row],[percentil_0,75]],"Sí","No")</f>
        <v>No</v>
      </c>
      <c r="N755" s="3">
        <v>0.89</v>
      </c>
      <c r="O755" t="s">
        <v>26</v>
      </c>
    </row>
    <row r="756" spans="1:15" x14ac:dyDescent="0.35">
      <c r="A756" t="s">
        <v>790</v>
      </c>
      <c r="B756" t="s">
        <v>22</v>
      </c>
      <c r="C756" t="s">
        <v>30</v>
      </c>
      <c r="D756" t="s">
        <v>547</v>
      </c>
      <c r="E756" s="3">
        <v>34.43</v>
      </c>
      <c r="F756" s="3">
        <v>5.52</v>
      </c>
      <c r="G756" s="3">
        <v>27.61</v>
      </c>
      <c r="H756" s="4">
        <v>272.14999999999998</v>
      </c>
      <c r="I756" s="3">
        <v>72</v>
      </c>
      <c r="J756" t="s">
        <v>19</v>
      </c>
      <c r="K756" s="4">
        <v>4.7424299999999997</v>
      </c>
      <c r="L756" s="6" cm="1">
        <f t="array" ref="L756">_xlfn.PERCENTILE.INC(_xlfn._xlws.FILTER(tabla_base[Rendimiento_por_hectarea_ton], tabla_base[tipo_cultivo]=tabla_base[[#This Row],[tipo_cultivo]]), 0.75)</f>
        <v>5.2323700000000004</v>
      </c>
      <c r="M756" s="7" t="str">
        <f>IF(tabla_base[[#This Row],[Rendimiento_por_hectarea_ton]]&gt;tabla_base[[#This Row],[percentil_0,75]],"Sí","No")</f>
        <v>No</v>
      </c>
      <c r="N756" s="3">
        <v>0.61</v>
      </c>
      <c r="O756" t="s">
        <v>20</v>
      </c>
    </row>
    <row r="757" spans="1:15" x14ac:dyDescent="0.35">
      <c r="A757" t="s">
        <v>791</v>
      </c>
      <c r="B757" t="s">
        <v>16</v>
      </c>
      <c r="C757" t="s">
        <v>23</v>
      </c>
      <c r="D757" t="s">
        <v>18</v>
      </c>
      <c r="E757" s="3">
        <v>33.03</v>
      </c>
      <c r="F757" s="3">
        <v>6.29</v>
      </c>
      <c r="G757" s="3">
        <v>25.8</v>
      </c>
      <c r="H757" s="4">
        <v>201</v>
      </c>
      <c r="I757" s="3">
        <v>87.6</v>
      </c>
      <c r="J757" t="s">
        <v>28</v>
      </c>
      <c r="K757" s="4">
        <v>4.6841699999999999</v>
      </c>
      <c r="L757" s="6" cm="1">
        <f t="array" ref="L757">_xlfn.PERCENTILE.INC(_xlfn._xlws.FILTER(tabla_base[Rendimiento_por_hectarea_ton], tabla_base[tipo_cultivo]=tabla_base[[#This Row],[tipo_cultivo]]), 0.75)</f>
        <v>5.2079399999999998</v>
      </c>
      <c r="M757" s="7" t="str">
        <f>IF(tabla_base[[#This Row],[Rendimiento_por_hectarea_ton]]&gt;tabla_base[[#This Row],[percentil_0,75]],"Sí","No")</f>
        <v>No</v>
      </c>
      <c r="N757" s="3">
        <v>0.57999999999999996</v>
      </c>
      <c r="O757" t="s">
        <v>20</v>
      </c>
    </row>
    <row r="758" spans="1:15" x14ac:dyDescent="0.35">
      <c r="A758" t="s">
        <v>792</v>
      </c>
      <c r="B758" t="s">
        <v>16</v>
      </c>
      <c r="C758" t="s">
        <v>40</v>
      </c>
      <c r="D758" t="s">
        <v>18</v>
      </c>
      <c r="E758" s="3">
        <v>16.329999999999998</v>
      </c>
      <c r="F758" s="3">
        <v>5.74</v>
      </c>
      <c r="G758" s="3">
        <v>25.56</v>
      </c>
      <c r="H758" s="4">
        <v>286.39</v>
      </c>
      <c r="I758" s="3">
        <v>60.15</v>
      </c>
      <c r="J758" t="s">
        <v>25</v>
      </c>
      <c r="K758" s="4">
        <v>3.1526700000000001</v>
      </c>
      <c r="L758" s="6" cm="1">
        <f t="array" ref="L758">_xlfn.PERCENTILE.INC(_xlfn._xlws.FILTER(tabla_base[Rendimiento_por_hectarea_ton], tabla_base[tipo_cultivo]=tabla_base[[#This Row],[tipo_cultivo]]), 0.75)</f>
        <v>5.2079399999999998</v>
      </c>
      <c r="M758" s="7" t="str">
        <f>IF(tabla_base[[#This Row],[Rendimiento_por_hectarea_ton]]&gt;tabla_base[[#This Row],[percentil_0,75]],"Sí","No")</f>
        <v>No</v>
      </c>
      <c r="N758" s="3">
        <v>0.63</v>
      </c>
      <c r="O758" t="s">
        <v>20</v>
      </c>
    </row>
    <row r="759" spans="1:15" x14ac:dyDescent="0.35">
      <c r="A759" t="s">
        <v>793</v>
      </c>
      <c r="B759" t="s">
        <v>22</v>
      </c>
      <c r="C759" t="s">
        <v>17</v>
      </c>
      <c r="D759" t="s">
        <v>33</v>
      </c>
      <c r="E759" s="3">
        <v>37.24</v>
      </c>
      <c r="F759" s="3">
        <v>6.91</v>
      </c>
      <c r="G759" s="3">
        <v>34.08</v>
      </c>
      <c r="H759" s="4">
        <v>148.18</v>
      </c>
      <c r="I759" s="3">
        <v>60.45</v>
      </c>
      <c r="J759" t="s">
        <v>28</v>
      </c>
      <c r="K759" s="4">
        <v>6.4255800000000001</v>
      </c>
      <c r="L759" s="6" cm="1">
        <f t="array" ref="L759">_xlfn.PERCENTILE.INC(_xlfn._xlws.FILTER(tabla_base[Rendimiento_por_hectarea_ton], tabla_base[tipo_cultivo]=tabla_base[[#This Row],[tipo_cultivo]]), 0.75)</f>
        <v>5.1635450000000001</v>
      </c>
      <c r="M759" s="7" t="str">
        <f>IF(tabla_base[[#This Row],[Rendimiento_por_hectarea_ton]]&gt;tabla_base[[#This Row],[percentil_0,75]],"Sí","No")</f>
        <v>Sí</v>
      </c>
      <c r="N759" s="3">
        <v>0.56999999999999995</v>
      </c>
      <c r="O759" t="s">
        <v>19</v>
      </c>
    </row>
    <row r="760" spans="1:15" x14ac:dyDescent="0.35">
      <c r="A760" t="s">
        <v>794</v>
      </c>
      <c r="B760" t="s">
        <v>16</v>
      </c>
      <c r="C760" t="s">
        <v>40</v>
      </c>
      <c r="D760" t="s">
        <v>33</v>
      </c>
      <c r="E760" s="3">
        <v>24.25</v>
      </c>
      <c r="F760" s="3">
        <v>7.11</v>
      </c>
      <c r="G760" s="3">
        <v>24.21</v>
      </c>
      <c r="H760" s="4">
        <v>92.2</v>
      </c>
      <c r="I760" s="3">
        <v>77.47</v>
      </c>
      <c r="J760" t="s">
        <v>37</v>
      </c>
      <c r="K760" s="4">
        <v>4.0061900000000001</v>
      </c>
      <c r="L760" s="6" cm="1">
        <f t="array" ref="L760">_xlfn.PERCENTILE.INC(_xlfn._xlws.FILTER(tabla_base[Rendimiento_por_hectarea_ton], tabla_base[tipo_cultivo]=tabla_base[[#This Row],[tipo_cultivo]]), 0.75)</f>
        <v>5.1635450000000001</v>
      </c>
      <c r="M760" s="7" t="str">
        <f>IF(tabla_base[[#This Row],[Rendimiento_por_hectarea_ton]]&gt;tabla_base[[#This Row],[percentil_0,75]],"Sí","No")</f>
        <v>No</v>
      </c>
      <c r="N760" s="3">
        <v>0.64</v>
      </c>
      <c r="O760" t="s">
        <v>20</v>
      </c>
    </row>
    <row r="761" spans="1:15" x14ac:dyDescent="0.35">
      <c r="A761" t="s">
        <v>795</v>
      </c>
      <c r="B761" t="s">
        <v>16</v>
      </c>
      <c r="C761" t="s">
        <v>40</v>
      </c>
      <c r="D761" t="s">
        <v>547</v>
      </c>
      <c r="E761" s="3">
        <v>36.5</v>
      </c>
      <c r="F761" s="3">
        <v>6.08</v>
      </c>
      <c r="G761" s="3">
        <v>15.26</v>
      </c>
      <c r="H761" s="4">
        <v>72.900000000000006</v>
      </c>
      <c r="I761" s="3">
        <v>55.85</v>
      </c>
      <c r="J761" t="s">
        <v>37</v>
      </c>
      <c r="K761" s="4">
        <v>6.11076</v>
      </c>
      <c r="L761" s="6" cm="1">
        <f t="array" ref="L761">_xlfn.PERCENTILE.INC(_xlfn._xlws.FILTER(tabla_base[Rendimiento_por_hectarea_ton], tabla_base[tipo_cultivo]=tabla_base[[#This Row],[tipo_cultivo]]), 0.75)</f>
        <v>5.2323700000000004</v>
      </c>
      <c r="M761" s="7" t="str">
        <f>IF(tabla_base[[#This Row],[Rendimiento_por_hectarea_ton]]&gt;tabla_base[[#This Row],[percentil_0,75]],"Sí","No")</f>
        <v>Sí</v>
      </c>
      <c r="N761" s="3">
        <v>0.89</v>
      </c>
      <c r="O761" t="s">
        <v>20</v>
      </c>
    </row>
    <row r="762" spans="1:15" x14ac:dyDescent="0.35">
      <c r="A762" t="s">
        <v>796</v>
      </c>
      <c r="B762" t="s">
        <v>22</v>
      </c>
      <c r="C762" t="s">
        <v>23</v>
      </c>
      <c r="D762" t="s">
        <v>35</v>
      </c>
      <c r="E762" s="3">
        <v>37.67</v>
      </c>
      <c r="F762" s="3">
        <v>6.73</v>
      </c>
      <c r="G762" s="3">
        <v>31.35</v>
      </c>
      <c r="H762" s="4">
        <v>75.78</v>
      </c>
      <c r="I762" s="3">
        <v>63.42</v>
      </c>
      <c r="J762" t="s">
        <v>19</v>
      </c>
      <c r="K762" s="4">
        <v>5.9433499999999997</v>
      </c>
      <c r="L762" s="6" cm="1">
        <f t="array" ref="L762">_xlfn.PERCENTILE.INC(_xlfn._xlws.FILTER(tabla_base[Rendimiento_por_hectarea_ton], tabla_base[tipo_cultivo]=tabla_base[[#This Row],[tipo_cultivo]]), 0.75)</f>
        <v>5.1318025</v>
      </c>
      <c r="M762" s="7" t="str">
        <f>IF(tabla_base[[#This Row],[Rendimiento_por_hectarea_ton]]&gt;tabla_base[[#This Row],[percentil_0,75]],"Sí","No")</f>
        <v>Sí</v>
      </c>
      <c r="N762" s="3">
        <v>0.85</v>
      </c>
      <c r="O762" t="s">
        <v>26</v>
      </c>
    </row>
    <row r="763" spans="1:15" x14ac:dyDescent="0.35">
      <c r="A763" t="s">
        <v>797</v>
      </c>
      <c r="B763" t="s">
        <v>16</v>
      </c>
      <c r="C763" t="s">
        <v>23</v>
      </c>
      <c r="D763" t="s">
        <v>24</v>
      </c>
      <c r="E763" s="3">
        <v>27.55</v>
      </c>
      <c r="F763" s="3">
        <v>6.48</v>
      </c>
      <c r="G763" s="3">
        <v>17.2</v>
      </c>
      <c r="H763" s="4">
        <v>276.93</v>
      </c>
      <c r="I763" s="3">
        <v>78.260000000000005</v>
      </c>
      <c r="J763" t="s">
        <v>37</v>
      </c>
      <c r="K763" s="4">
        <v>2.7858100000000001</v>
      </c>
      <c r="L763" s="6" cm="1">
        <f t="array" ref="L763">_xlfn.PERCENTILE.INC(_xlfn._xlws.FILTER(tabla_base[Rendimiento_por_hectarea_ton], tabla_base[tipo_cultivo]=tabla_base[[#This Row],[tipo_cultivo]]), 0.75)</f>
        <v>5.3984449999999997</v>
      </c>
      <c r="M763" s="7" t="str">
        <f>IF(tabla_base[[#This Row],[Rendimiento_por_hectarea_ton]]&gt;tabla_base[[#This Row],[percentil_0,75]],"Sí","No")</f>
        <v>No</v>
      </c>
      <c r="N763" s="3">
        <v>0.78</v>
      </c>
      <c r="O763" t="s">
        <v>26</v>
      </c>
    </row>
    <row r="764" spans="1:15" x14ac:dyDescent="0.35">
      <c r="A764" t="s">
        <v>798</v>
      </c>
      <c r="B764" t="s">
        <v>16</v>
      </c>
      <c r="C764" t="s">
        <v>30</v>
      </c>
      <c r="D764" t="s">
        <v>33</v>
      </c>
      <c r="E764" s="3">
        <v>29.46</v>
      </c>
      <c r="F764" s="3">
        <v>5.65</v>
      </c>
      <c r="G764" s="3">
        <v>27.1</v>
      </c>
      <c r="H764" s="4">
        <v>147.38999999999999</v>
      </c>
      <c r="I764" s="3">
        <v>81.48</v>
      </c>
      <c r="J764" t="s">
        <v>19</v>
      </c>
      <c r="K764" s="4">
        <v>3.0851099999999998</v>
      </c>
      <c r="L764" s="6" cm="1">
        <f t="array" ref="L764">_xlfn.PERCENTILE.INC(_xlfn._xlws.FILTER(tabla_base[Rendimiento_por_hectarea_ton], tabla_base[tipo_cultivo]=tabla_base[[#This Row],[tipo_cultivo]]), 0.75)</f>
        <v>5.1635450000000001</v>
      </c>
      <c r="M764" s="7" t="str">
        <f>IF(tabla_base[[#This Row],[Rendimiento_por_hectarea_ton]]&gt;tabla_base[[#This Row],[percentil_0,75]],"Sí","No")</f>
        <v>No</v>
      </c>
      <c r="N764" s="3">
        <v>0.6</v>
      </c>
      <c r="O764" t="s">
        <v>20</v>
      </c>
    </row>
    <row r="765" spans="1:15" x14ac:dyDescent="0.35">
      <c r="A765" t="s">
        <v>799</v>
      </c>
      <c r="B765" t="s">
        <v>16</v>
      </c>
      <c r="C765" t="s">
        <v>17</v>
      </c>
      <c r="D765" t="s">
        <v>18</v>
      </c>
      <c r="E765" s="3">
        <v>20.45</v>
      </c>
      <c r="F765" s="3">
        <v>6.51</v>
      </c>
      <c r="G765" s="3">
        <v>30.68</v>
      </c>
      <c r="H765" s="4">
        <v>260.20999999999998</v>
      </c>
      <c r="I765" s="3">
        <v>72.14</v>
      </c>
      <c r="J765" t="s">
        <v>37</v>
      </c>
      <c r="K765" s="4">
        <v>3.758</v>
      </c>
      <c r="L765" s="6" cm="1">
        <f t="array" ref="L765">_xlfn.PERCENTILE.INC(_xlfn._xlws.FILTER(tabla_base[Rendimiento_por_hectarea_ton], tabla_base[tipo_cultivo]=tabla_base[[#This Row],[tipo_cultivo]]), 0.75)</f>
        <v>5.2079399999999998</v>
      </c>
      <c r="M765" s="7" t="str">
        <f>IF(tabla_base[[#This Row],[Rendimiento_por_hectarea_ton]]&gt;tabla_base[[#This Row],[percentil_0,75]],"Sí","No")</f>
        <v>No</v>
      </c>
      <c r="N765" s="3">
        <v>0.62</v>
      </c>
      <c r="O765" t="s">
        <v>26</v>
      </c>
    </row>
    <row r="766" spans="1:15" x14ac:dyDescent="0.35">
      <c r="A766" t="s">
        <v>800</v>
      </c>
      <c r="B766" t="s">
        <v>22</v>
      </c>
      <c r="C766" t="s">
        <v>23</v>
      </c>
      <c r="D766" t="s">
        <v>24</v>
      </c>
      <c r="E766" s="3">
        <v>35.99</v>
      </c>
      <c r="F766" s="3">
        <v>5.53</v>
      </c>
      <c r="G766" s="3">
        <v>23.42</v>
      </c>
      <c r="H766" s="4">
        <v>231.1</v>
      </c>
      <c r="I766" s="3">
        <v>60.39</v>
      </c>
      <c r="J766" t="s">
        <v>25</v>
      </c>
      <c r="K766" s="4">
        <v>3.8073199999999998</v>
      </c>
      <c r="L766" s="6" cm="1">
        <f t="array" ref="L766">_xlfn.PERCENTILE.INC(_xlfn._xlws.FILTER(tabla_base[Rendimiento_por_hectarea_ton], tabla_base[tipo_cultivo]=tabla_base[[#This Row],[tipo_cultivo]]), 0.75)</f>
        <v>5.3984449999999997</v>
      </c>
      <c r="M766" s="7" t="str">
        <f>IF(tabla_base[[#This Row],[Rendimiento_por_hectarea_ton]]&gt;tabla_base[[#This Row],[percentil_0,75]],"Sí","No")</f>
        <v>No</v>
      </c>
      <c r="N766" s="3">
        <v>0.87</v>
      </c>
      <c r="O766" t="s">
        <v>19</v>
      </c>
    </row>
    <row r="767" spans="1:15" x14ac:dyDescent="0.35">
      <c r="A767" t="s">
        <v>801</v>
      </c>
      <c r="B767" t="s">
        <v>16</v>
      </c>
      <c r="C767" t="s">
        <v>30</v>
      </c>
      <c r="D767" t="s">
        <v>547</v>
      </c>
      <c r="E767" s="3">
        <v>34.82</v>
      </c>
      <c r="F767" s="3">
        <v>5.67</v>
      </c>
      <c r="G767" s="3">
        <v>23.37</v>
      </c>
      <c r="H767" s="4">
        <v>142.76</v>
      </c>
      <c r="I767" s="3">
        <v>50.71</v>
      </c>
      <c r="J767" t="s">
        <v>28</v>
      </c>
      <c r="K767" s="4">
        <v>5.2323700000000004</v>
      </c>
      <c r="L767" s="6" cm="1">
        <f t="array" ref="L767">_xlfn.PERCENTILE.INC(_xlfn._xlws.FILTER(tabla_base[Rendimiento_por_hectarea_ton], tabla_base[tipo_cultivo]=tabla_base[[#This Row],[tipo_cultivo]]), 0.75)</f>
        <v>5.2323700000000004</v>
      </c>
      <c r="M767" s="7" t="str">
        <f>IF(tabla_base[[#This Row],[Rendimiento_por_hectarea_ton]]&gt;tabla_base[[#This Row],[percentil_0,75]],"Sí","No")</f>
        <v>No</v>
      </c>
      <c r="N767" s="3">
        <v>0.7</v>
      </c>
      <c r="O767" t="s">
        <v>19</v>
      </c>
    </row>
    <row r="768" spans="1:15" x14ac:dyDescent="0.35">
      <c r="A768" t="s">
        <v>802</v>
      </c>
      <c r="B768" t="s">
        <v>16</v>
      </c>
      <c r="C768" t="s">
        <v>23</v>
      </c>
      <c r="D768" t="s">
        <v>31</v>
      </c>
      <c r="E768" s="3">
        <v>26.24</v>
      </c>
      <c r="F768" s="3">
        <v>7.06</v>
      </c>
      <c r="G768" s="3">
        <v>21.4</v>
      </c>
      <c r="H768" s="4">
        <v>121.14</v>
      </c>
      <c r="I768" s="3">
        <v>73.239999999999995</v>
      </c>
      <c r="J768" t="s">
        <v>19</v>
      </c>
      <c r="K768" s="4">
        <v>3.4905400000000002</v>
      </c>
      <c r="L768" s="6" cm="1">
        <f t="array" ref="L768">_xlfn.PERCENTILE.INC(_xlfn._xlws.FILTER(tabla_base[Rendimiento_por_hectarea_ton], tabla_base[tipo_cultivo]=tabla_base[[#This Row],[tipo_cultivo]]), 0.75)</f>
        <v>5.1742550000000005</v>
      </c>
      <c r="M768" s="7" t="str">
        <f>IF(tabla_base[[#This Row],[Rendimiento_por_hectarea_ton]]&gt;tabla_base[[#This Row],[percentil_0,75]],"Sí","No")</f>
        <v>No</v>
      </c>
      <c r="N768" s="3">
        <v>0.51</v>
      </c>
      <c r="O768" t="s">
        <v>20</v>
      </c>
    </row>
    <row r="769" spans="1:15" x14ac:dyDescent="0.35">
      <c r="A769" t="s">
        <v>803</v>
      </c>
      <c r="B769" t="s">
        <v>16</v>
      </c>
      <c r="C769" t="s">
        <v>40</v>
      </c>
      <c r="D769" t="s">
        <v>547</v>
      </c>
      <c r="E769" s="3">
        <v>32.19</v>
      </c>
      <c r="F769" s="3">
        <v>6.48</v>
      </c>
      <c r="G769" s="3">
        <v>18.86</v>
      </c>
      <c r="H769" s="4">
        <v>284.24</v>
      </c>
      <c r="I769" s="3">
        <v>56.23</v>
      </c>
      <c r="J769" t="s">
        <v>37</v>
      </c>
      <c r="K769" s="4">
        <v>3.5112700000000001</v>
      </c>
      <c r="L769" s="6" cm="1">
        <f t="array" ref="L769">_xlfn.PERCENTILE.INC(_xlfn._xlws.FILTER(tabla_base[Rendimiento_por_hectarea_ton], tabla_base[tipo_cultivo]=tabla_base[[#This Row],[tipo_cultivo]]), 0.75)</f>
        <v>5.2323700000000004</v>
      </c>
      <c r="M769" s="7" t="str">
        <f>IF(tabla_base[[#This Row],[Rendimiento_por_hectarea_ton]]&gt;tabla_base[[#This Row],[percentil_0,75]],"Sí","No")</f>
        <v>No</v>
      </c>
      <c r="N769" s="3">
        <v>0.85</v>
      </c>
      <c r="O769" t="s">
        <v>19</v>
      </c>
    </row>
    <row r="770" spans="1:15" x14ac:dyDescent="0.35">
      <c r="A770" t="s">
        <v>804</v>
      </c>
      <c r="B770" t="s">
        <v>22</v>
      </c>
      <c r="C770" t="s">
        <v>40</v>
      </c>
      <c r="D770" t="s">
        <v>18</v>
      </c>
      <c r="E770" s="3">
        <v>26.71</v>
      </c>
      <c r="F770" s="3">
        <v>7.39</v>
      </c>
      <c r="G770" s="3">
        <v>25.1</v>
      </c>
      <c r="H770" s="4">
        <v>182.47</v>
      </c>
      <c r="I770" s="3">
        <v>63.19</v>
      </c>
      <c r="J770" t="s">
        <v>28</v>
      </c>
      <c r="K770" s="4">
        <v>3.65944</v>
      </c>
      <c r="L770" s="6" cm="1">
        <f t="array" ref="L770">_xlfn.PERCENTILE.INC(_xlfn._xlws.FILTER(tabla_base[Rendimiento_por_hectarea_ton], tabla_base[tipo_cultivo]=tabla_base[[#This Row],[tipo_cultivo]]), 0.75)</f>
        <v>5.2079399999999998</v>
      </c>
      <c r="M770" s="7" t="str">
        <f>IF(tabla_base[[#This Row],[Rendimiento_por_hectarea_ton]]&gt;tabla_base[[#This Row],[percentil_0,75]],"Sí","No")</f>
        <v>No</v>
      </c>
      <c r="N770" s="3">
        <v>0.85</v>
      </c>
      <c r="O770" t="s">
        <v>20</v>
      </c>
    </row>
    <row r="771" spans="1:15" x14ac:dyDescent="0.35">
      <c r="A771" t="s">
        <v>805</v>
      </c>
      <c r="B771" t="s">
        <v>22</v>
      </c>
      <c r="C771" t="s">
        <v>17</v>
      </c>
      <c r="D771" t="s">
        <v>547</v>
      </c>
      <c r="E771" s="3">
        <v>36.82</v>
      </c>
      <c r="F771" s="3">
        <v>6.44</v>
      </c>
      <c r="G771" s="3">
        <v>25.31</v>
      </c>
      <c r="H771" s="4">
        <v>94.65</v>
      </c>
      <c r="I771" s="3">
        <v>73.12</v>
      </c>
      <c r="J771" t="s">
        <v>19</v>
      </c>
      <c r="K771" s="4">
        <v>3.1889099999999999</v>
      </c>
      <c r="L771" s="6" cm="1">
        <f t="array" ref="L771">_xlfn.PERCENTILE.INC(_xlfn._xlws.FILTER(tabla_base[Rendimiento_por_hectarea_ton], tabla_base[tipo_cultivo]=tabla_base[[#This Row],[tipo_cultivo]]), 0.75)</f>
        <v>5.2323700000000004</v>
      </c>
      <c r="M771" s="7" t="str">
        <f>IF(tabla_base[[#This Row],[Rendimiento_por_hectarea_ton]]&gt;tabla_base[[#This Row],[percentil_0,75]],"Sí","No")</f>
        <v>No</v>
      </c>
      <c r="N771" s="3">
        <v>0.69</v>
      </c>
      <c r="O771" t="s">
        <v>20</v>
      </c>
    </row>
    <row r="772" spans="1:15" x14ac:dyDescent="0.35">
      <c r="A772" t="s">
        <v>806</v>
      </c>
      <c r="B772" t="s">
        <v>16</v>
      </c>
      <c r="C772" t="s">
        <v>30</v>
      </c>
      <c r="D772" t="s">
        <v>31</v>
      </c>
      <c r="E772" s="3">
        <v>24.75</v>
      </c>
      <c r="F772" s="3">
        <v>7.27</v>
      </c>
      <c r="G772" s="3">
        <v>17.010000000000002</v>
      </c>
      <c r="H772" s="4">
        <v>90.44</v>
      </c>
      <c r="I772" s="3">
        <v>59.73</v>
      </c>
      <c r="J772" t="s">
        <v>25</v>
      </c>
      <c r="K772" s="4">
        <v>3.2348400000000002</v>
      </c>
      <c r="L772" s="6" cm="1">
        <f t="array" ref="L772">_xlfn.PERCENTILE.INC(_xlfn._xlws.FILTER(tabla_base[Rendimiento_por_hectarea_ton], tabla_base[tipo_cultivo]=tabla_base[[#This Row],[tipo_cultivo]]), 0.75)</f>
        <v>5.1742550000000005</v>
      </c>
      <c r="M772" s="7" t="str">
        <f>IF(tabla_base[[#This Row],[Rendimiento_por_hectarea_ton]]&gt;tabla_base[[#This Row],[percentil_0,75]],"Sí","No")</f>
        <v>No</v>
      </c>
      <c r="N772" s="3">
        <v>0.56999999999999995</v>
      </c>
      <c r="O772" t="s">
        <v>20</v>
      </c>
    </row>
    <row r="773" spans="1:15" x14ac:dyDescent="0.35">
      <c r="A773" t="s">
        <v>807</v>
      </c>
      <c r="B773" t="s">
        <v>16</v>
      </c>
      <c r="C773" t="s">
        <v>40</v>
      </c>
      <c r="D773" t="s">
        <v>31</v>
      </c>
      <c r="E773" s="3">
        <v>28.26</v>
      </c>
      <c r="F773" s="3">
        <v>7.34</v>
      </c>
      <c r="G773" s="3">
        <v>32.14</v>
      </c>
      <c r="H773" s="4">
        <v>267.77</v>
      </c>
      <c r="I773" s="3">
        <v>82</v>
      </c>
      <c r="J773" t="s">
        <v>25</v>
      </c>
      <c r="K773" s="4">
        <v>5.5555300000000001</v>
      </c>
      <c r="L773" s="6" cm="1">
        <f t="array" ref="L773">_xlfn.PERCENTILE.INC(_xlfn._xlws.FILTER(tabla_base[Rendimiento_por_hectarea_ton], tabla_base[tipo_cultivo]=tabla_base[[#This Row],[tipo_cultivo]]), 0.75)</f>
        <v>5.1742550000000005</v>
      </c>
      <c r="M773" s="7" t="str">
        <f>IF(tabla_base[[#This Row],[Rendimiento_por_hectarea_ton]]&gt;tabla_base[[#This Row],[percentil_0,75]],"Sí","No")</f>
        <v>Sí</v>
      </c>
      <c r="N773" s="3">
        <v>0.69</v>
      </c>
      <c r="O773" t="s">
        <v>19</v>
      </c>
    </row>
    <row r="774" spans="1:15" x14ac:dyDescent="0.35">
      <c r="A774" t="s">
        <v>808</v>
      </c>
      <c r="B774" t="s">
        <v>22</v>
      </c>
      <c r="C774" t="s">
        <v>17</v>
      </c>
      <c r="D774" t="s">
        <v>547</v>
      </c>
      <c r="E774" s="3">
        <v>22.64</v>
      </c>
      <c r="F774" s="3">
        <v>7.02</v>
      </c>
      <c r="G774" s="3">
        <v>31.33</v>
      </c>
      <c r="H774" s="4">
        <v>157.46</v>
      </c>
      <c r="I774" s="3">
        <v>77.709999999999994</v>
      </c>
      <c r="J774" t="s">
        <v>28</v>
      </c>
      <c r="K774" s="4">
        <v>2.6289899999999999</v>
      </c>
      <c r="L774" s="6" cm="1">
        <f t="array" ref="L774">_xlfn.PERCENTILE.INC(_xlfn._xlws.FILTER(tabla_base[Rendimiento_por_hectarea_ton], tabla_base[tipo_cultivo]=tabla_base[[#This Row],[tipo_cultivo]]), 0.75)</f>
        <v>5.2323700000000004</v>
      </c>
      <c r="M774" s="7" t="str">
        <f>IF(tabla_base[[#This Row],[Rendimiento_por_hectarea_ton]]&gt;tabla_base[[#This Row],[percentil_0,75]],"Sí","No")</f>
        <v>No</v>
      </c>
      <c r="N774" s="3">
        <v>0.67</v>
      </c>
      <c r="O774" t="s">
        <v>20</v>
      </c>
    </row>
    <row r="775" spans="1:15" x14ac:dyDescent="0.35">
      <c r="A775" t="s">
        <v>809</v>
      </c>
      <c r="B775" t="s">
        <v>16</v>
      </c>
      <c r="C775" t="s">
        <v>17</v>
      </c>
      <c r="D775" t="s">
        <v>24</v>
      </c>
      <c r="E775" s="3">
        <v>33.21</v>
      </c>
      <c r="F775" s="3">
        <v>7.1</v>
      </c>
      <c r="G775" s="3">
        <v>25.49</v>
      </c>
      <c r="H775" s="4">
        <v>98.57</v>
      </c>
      <c r="I775" s="3">
        <v>59.83</v>
      </c>
      <c r="J775" t="s">
        <v>25</v>
      </c>
      <c r="K775" s="4">
        <v>4.87296</v>
      </c>
      <c r="L775" s="6" cm="1">
        <f t="array" ref="L775">_xlfn.PERCENTILE.INC(_xlfn._xlws.FILTER(tabla_base[Rendimiento_por_hectarea_ton], tabla_base[tipo_cultivo]=tabla_base[[#This Row],[tipo_cultivo]]), 0.75)</f>
        <v>5.3984449999999997</v>
      </c>
      <c r="M775" s="7" t="str">
        <f>IF(tabla_base[[#This Row],[Rendimiento_por_hectarea_ton]]&gt;tabla_base[[#This Row],[percentil_0,75]],"Sí","No")</f>
        <v>No</v>
      </c>
      <c r="N775" s="3">
        <v>0.8</v>
      </c>
      <c r="O775" t="s">
        <v>19</v>
      </c>
    </row>
    <row r="776" spans="1:15" x14ac:dyDescent="0.35">
      <c r="A776" t="s">
        <v>810</v>
      </c>
      <c r="B776" t="s">
        <v>16</v>
      </c>
      <c r="C776" t="s">
        <v>17</v>
      </c>
      <c r="D776" t="s">
        <v>547</v>
      </c>
      <c r="E776" s="3">
        <v>30.6</v>
      </c>
      <c r="F776" s="3">
        <v>6.09</v>
      </c>
      <c r="G776" s="3">
        <v>29.24</v>
      </c>
      <c r="H776" s="4">
        <v>179.09</v>
      </c>
      <c r="I776" s="3">
        <v>62.38</v>
      </c>
      <c r="J776" t="s">
        <v>28</v>
      </c>
      <c r="K776" s="4">
        <v>3.0923699999999998</v>
      </c>
      <c r="L776" s="6" cm="1">
        <f t="array" ref="L776">_xlfn.PERCENTILE.INC(_xlfn._xlws.FILTER(tabla_base[Rendimiento_por_hectarea_ton], tabla_base[tipo_cultivo]=tabla_base[[#This Row],[tipo_cultivo]]), 0.75)</f>
        <v>5.2323700000000004</v>
      </c>
      <c r="M776" s="7" t="str">
        <f>IF(tabla_base[[#This Row],[Rendimiento_por_hectarea_ton]]&gt;tabla_base[[#This Row],[percentil_0,75]],"Sí","No")</f>
        <v>No</v>
      </c>
      <c r="N776" s="3">
        <v>0.67</v>
      </c>
      <c r="O776" t="s">
        <v>20</v>
      </c>
    </row>
    <row r="777" spans="1:15" x14ac:dyDescent="0.35">
      <c r="A777" t="s">
        <v>811</v>
      </c>
      <c r="B777" t="s">
        <v>22</v>
      </c>
      <c r="C777" t="s">
        <v>40</v>
      </c>
      <c r="D777" t="s">
        <v>18</v>
      </c>
      <c r="E777" s="3">
        <v>15.6</v>
      </c>
      <c r="F777" s="3">
        <v>5.6</v>
      </c>
      <c r="G777" s="3">
        <v>21.9</v>
      </c>
      <c r="H777" s="4">
        <v>181.2</v>
      </c>
      <c r="I777" s="3">
        <v>59.01</v>
      </c>
      <c r="J777" t="s">
        <v>28</v>
      </c>
      <c r="K777" s="4">
        <v>5.09267</v>
      </c>
      <c r="L777" s="6" cm="1">
        <f t="array" ref="L777">_xlfn.PERCENTILE.INC(_xlfn._xlws.FILTER(tabla_base[Rendimiento_por_hectarea_ton], tabla_base[tipo_cultivo]=tabla_base[[#This Row],[tipo_cultivo]]), 0.75)</f>
        <v>5.2079399999999998</v>
      </c>
      <c r="M777" s="7" t="str">
        <f>IF(tabla_base[[#This Row],[Rendimiento_por_hectarea_ton]]&gt;tabla_base[[#This Row],[percentil_0,75]],"Sí","No")</f>
        <v>No</v>
      </c>
      <c r="N777" s="3">
        <v>0.75</v>
      </c>
      <c r="O777" t="s">
        <v>19</v>
      </c>
    </row>
    <row r="778" spans="1:15" x14ac:dyDescent="0.35">
      <c r="A778" t="s">
        <v>812</v>
      </c>
      <c r="B778" t="s">
        <v>16</v>
      </c>
      <c r="C778" t="s">
        <v>23</v>
      </c>
      <c r="D778" t="s">
        <v>31</v>
      </c>
      <c r="E778" s="3">
        <v>23.43</v>
      </c>
      <c r="F778" s="3">
        <v>6.87</v>
      </c>
      <c r="G778" s="3">
        <v>30.85</v>
      </c>
      <c r="H778" s="4">
        <v>133.72</v>
      </c>
      <c r="I778" s="3">
        <v>83.36</v>
      </c>
      <c r="J778" t="s">
        <v>19</v>
      </c>
      <c r="K778" s="4">
        <v>5.5107299999999997</v>
      </c>
      <c r="L778" s="6" cm="1">
        <f t="array" ref="L778">_xlfn.PERCENTILE.INC(_xlfn._xlws.FILTER(tabla_base[Rendimiento_por_hectarea_ton], tabla_base[tipo_cultivo]=tabla_base[[#This Row],[tipo_cultivo]]), 0.75)</f>
        <v>5.1742550000000005</v>
      </c>
      <c r="M778" s="7" t="str">
        <f>IF(tabla_base[[#This Row],[Rendimiento_por_hectarea_ton]]&gt;tabla_base[[#This Row],[percentil_0,75]],"Sí","No")</f>
        <v>Sí</v>
      </c>
      <c r="N778" s="3">
        <v>0.82</v>
      </c>
      <c r="O778" t="s">
        <v>19</v>
      </c>
    </row>
    <row r="779" spans="1:15" x14ac:dyDescent="0.35">
      <c r="A779" t="s">
        <v>813</v>
      </c>
      <c r="B779" t="s">
        <v>544</v>
      </c>
      <c r="C779" t="s">
        <v>17</v>
      </c>
      <c r="D779" t="s">
        <v>35</v>
      </c>
      <c r="E779" s="3">
        <v>34.65</v>
      </c>
      <c r="F779" s="3">
        <v>5.74</v>
      </c>
      <c r="G779" s="3">
        <v>30.6</v>
      </c>
      <c r="H779" s="4">
        <v>169.67</v>
      </c>
      <c r="I779" s="3">
        <v>50.77</v>
      </c>
      <c r="J779" t="s">
        <v>19</v>
      </c>
      <c r="K779" s="4">
        <v>5.75061</v>
      </c>
      <c r="L779" s="6" cm="1">
        <f t="array" ref="L779">_xlfn.PERCENTILE.INC(_xlfn._xlws.FILTER(tabla_base[Rendimiento_por_hectarea_ton], tabla_base[tipo_cultivo]=tabla_base[[#This Row],[tipo_cultivo]]), 0.75)</f>
        <v>5.1318025</v>
      </c>
      <c r="M779" s="7" t="str">
        <f>IF(tabla_base[[#This Row],[Rendimiento_por_hectarea_ton]]&gt;tabla_base[[#This Row],[percentil_0,75]],"Sí","No")</f>
        <v>Sí</v>
      </c>
      <c r="N779" s="3">
        <v>0.55000000000000004</v>
      </c>
      <c r="O779" t="s">
        <v>20</v>
      </c>
    </row>
    <row r="780" spans="1:15" x14ac:dyDescent="0.35">
      <c r="A780" t="s">
        <v>814</v>
      </c>
      <c r="B780" t="s">
        <v>22</v>
      </c>
      <c r="C780" t="s">
        <v>30</v>
      </c>
      <c r="D780" t="s">
        <v>24</v>
      </c>
      <c r="E780" s="3">
        <v>37.94</v>
      </c>
      <c r="F780" s="3">
        <v>5.6</v>
      </c>
      <c r="G780" s="3">
        <v>26.23</v>
      </c>
      <c r="H780" s="4">
        <v>258.54000000000002</v>
      </c>
      <c r="I780" s="3">
        <v>68.489999999999995</v>
      </c>
      <c r="J780" t="s">
        <v>28</v>
      </c>
      <c r="K780" s="4">
        <v>3.80172</v>
      </c>
      <c r="L780" s="6" cm="1">
        <f t="array" ref="L780">_xlfn.PERCENTILE.INC(_xlfn._xlws.FILTER(tabla_base[Rendimiento_por_hectarea_ton], tabla_base[tipo_cultivo]=tabla_base[[#This Row],[tipo_cultivo]]), 0.75)</f>
        <v>5.3984449999999997</v>
      </c>
      <c r="M780" s="7" t="str">
        <f>IF(tabla_base[[#This Row],[Rendimiento_por_hectarea_ton]]&gt;tabla_base[[#This Row],[percentil_0,75]],"Sí","No")</f>
        <v>No</v>
      </c>
      <c r="N780" s="3">
        <v>0.78</v>
      </c>
      <c r="O780" t="s">
        <v>19</v>
      </c>
    </row>
    <row r="781" spans="1:15" x14ac:dyDescent="0.35">
      <c r="A781" t="s">
        <v>815</v>
      </c>
      <c r="B781" t="s">
        <v>16</v>
      </c>
      <c r="C781" t="s">
        <v>30</v>
      </c>
      <c r="D781" t="s">
        <v>18</v>
      </c>
      <c r="E781" s="3">
        <v>29.09</v>
      </c>
      <c r="F781" s="3">
        <v>6.87</v>
      </c>
      <c r="G781" s="3">
        <v>30.47</v>
      </c>
      <c r="H781" s="4">
        <v>90.99</v>
      </c>
      <c r="I781" s="3">
        <v>61.1</v>
      </c>
      <c r="J781" t="s">
        <v>19</v>
      </c>
      <c r="K781" s="4">
        <v>4.6001399999999997</v>
      </c>
      <c r="L781" s="6" cm="1">
        <f t="array" ref="L781">_xlfn.PERCENTILE.INC(_xlfn._xlws.FILTER(tabla_base[Rendimiento_por_hectarea_ton], tabla_base[tipo_cultivo]=tabla_base[[#This Row],[tipo_cultivo]]), 0.75)</f>
        <v>5.2079399999999998</v>
      </c>
      <c r="M781" s="7" t="str">
        <f>IF(tabla_base[[#This Row],[Rendimiento_por_hectarea_ton]]&gt;tabla_base[[#This Row],[percentil_0,75]],"Sí","No")</f>
        <v>No</v>
      </c>
      <c r="N781" s="3">
        <v>0.56000000000000005</v>
      </c>
      <c r="O781" t="s">
        <v>20</v>
      </c>
    </row>
    <row r="782" spans="1:15" x14ac:dyDescent="0.35">
      <c r="A782" t="s">
        <v>816</v>
      </c>
      <c r="B782" t="s">
        <v>544</v>
      </c>
      <c r="C782" t="s">
        <v>17</v>
      </c>
      <c r="D782" t="s">
        <v>33</v>
      </c>
      <c r="E782" s="3">
        <v>38.369999999999997</v>
      </c>
      <c r="F782" s="3">
        <v>6.93</v>
      </c>
      <c r="G782" s="3">
        <v>32.880000000000003</v>
      </c>
      <c r="H782" s="4">
        <v>95.04</v>
      </c>
      <c r="I782" s="3">
        <v>65.48</v>
      </c>
      <c r="J782" t="s">
        <v>37</v>
      </c>
      <c r="K782" s="4">
        <v>3.7765399999999998</v>
      </c>
      <c r="L782" s="6" cm="1">
        <f t="array" ref="L782">_xlfn.PERCENTILE.INC(_xlfn._xlws.FILTER(tabla_base[Rendimiento_por_hectarea_ton], tabla_base[tipo_cultivo]=tabla_base[[#This Row],[tipo_cultivo]]), 0.75)</f>
        <v>5.1635450000000001</v>
      </c>
      <c r="M782" s="7" t="str">
        <f>IF(tabla_base[[#This Row],[Rendimiento_por_hectarea_ton]]&gt;tabla_base[[#This Row],[percentil_0,75]],"Sí","No")</f>
        <v>No</v>
      </c>
      <c r="N782" s="3">
        <v>0.77</v>
      </c>
      <c r="O782" t="s">
        <v>19</v>
      </c>
    </row>
    <row r="783" spans="1:15" x14ac:dyDescent="0.35">
      <c r="A783" t="s">
        <v>817</v>
      </c>
      <c r="B783" t="s">
        <v>16</v>
      </c>
      <c r="C783" t="s">
        <v>23</v>
      </c>
      <c r="D783" t="s">
        <v>547</v>
      </c>
      <c r="E783" s="3">
        <v>16.27</v>
      </c>
      <c r="F783" s="3">
        <v>5.64</v>
      </c>
      <c r="G783" s="3">
        <v>27.96</v>
      </c>
      <c r="H783" s="4">
        <v>207.04</v>
      </c>
      <c r="I783" s="3">
        <v>89.39</v>
      </c>
      <c r="J783" t="s">
        <v>28</v>
      </c>
      <c r="K783" s="4">
        <v>2.7912300000000001</v>
      </c>
      <c r="L783" s="6" cm="1">
        <f t="array" ref="L783">_xlfn.PERCENTILE.INC(_xlfn._xlws.FILTER(tabla_base[Rendimiento_por_hectarea_ton], tabla_base[tipo_cultivo]=tabla_base[[#This Row],[tipo_cultivo]]), 0.75)</f>
        <v>5.2323700000000004</v>
      </c>
      <c r="M783" s="7" t="str">
        <f>IF(tabla_base[[#This Row],[Rendimiento_por_hectarea_ton]]&gt;tabla_base[[#This Row],[percentil_0,75]],"Sí","No")</f>
        <v>No</v>
      </c>
      <c r="N783" s="3">
        <v>0.74</v>
      </c>
      <c r="O783" t="s">
        <v>26</v>
      </c>
    </row>
    <row r="784" spans="1:15" x14ac:dyDescent="0.35">
      <c r="A784" t="s">
        <v>818</v>
      </c>
      <c r="B784" t="s">
        <v>22</v>
      </c>
      <c r="C784" t="s">
        <v>30</v>
      </c>
      <c r="D784" t="s">
        <v>24</v>
      </c>
      <c r="E784" s="3">
        <v>37.880000000000003</v>
      </c>
      <c r="F784" s="3">
        <v>6.73</v>
      </c>
      <c r="G784" s="3">
        <v>17.02</v>
      </c>
      <c r="H784" s="4">
        <v>80.47</v>
      </c>
      <c r="I784" s="3">
        <v>84.1</v>
      </c>
      <c r="J784" t="s">
        <v>25</v>
      </c>
      <c r="K784" s="4">
        <v>4.7442200000000003</v>
      </c>
      <c r="L784" s="6" cm="1">
        <f t="array" ref="L784">_xlfn.PERCENTILE.INC(_xlfn._xlws.FILTER(tabla_base[Rendimiento_por_hectarea_ton], tabla_base[tipo_cultivo]=tabla_base[[#This Row],[tipo_cultivo]]), 0.75)</f>
        <v>5.3984449999999997</v>
      </c>
      <c r="M784" s="7" t="str">
        <f>IF(tabla_base[[#This Row],[Rendimiento_por_hectarea_ton]]&gt;tabla_base[[#This Row],[percentil_0,75]],"Sí","No")</f>
        <v>No</v>
      </c>
      <c r="N784" s="3">
        <v>0.53</v>
      </c>
      <c r="O784" t="s">
        <v>26</v>
      </c>
    </row>
    <row r="785" spans="1:15" x14ac:dyDescent="0.35">
      <c r="A785" t="s">
        <v>819</v>
      </c>
      <c r="B785" t="s">
        <v>22</v>
      </c>
      <c r="C785" t="s">
        <v>17</v>
      </c>
      <c r="D785" t="s">
        <v>35</v>
      </c>
      <c r="E785" s="3">
        <v>30.96</v>
      </c>
      <c r="F785" s="3">
        <v>6.11</v>
      </c>
      <c r="G785" s="3">
        <v>24.48</v>
      </c>
      <c r="H785" s="4">
        <v>252.59</v>
      </c>
      <c r="I785" s="3">
        <v>82.68</v>
      </c>
      <c r="J785" t="s">
        <v>25</v>
      </c>
      <c r="K785" s="4">
        <v>3.7505099999999998</v>
      </c>
      <c r="L785" s="6" cm="1">
        <f t="array" ref="L785">_xlfn.PERCENTILE.INC(_xlfn._xlws.FILTER(tabla_base[Rendimiento_por_hectarea_ton], tabla_base[tipo_cultivo]=tabla_base[[#This Row],[tipo_cultivo]]), 0.75)</f>
        <v>5.1318025</v>
      </c>
      <c r="M785" s="7" t="str">
        <f>IF(tabla_base[[#This Row],[Rendimiento_por_hectarea_ton]]&gt;tabla_base[[#This Row],[percentil_0,75]],"Sí","No")</f>
        <v>No</v>
      </c>
      <c r="N785" s="3">
        <v>0.69</v>
      </c>
      <c r="O785" t="s">
        <v>26</v>
      </c>
    </row>
    <row r="786" spans="1:15" x14ac:dyDescent="0.35">
      <c r="A786" t="s">
        <v>820</v>
      </c>
      <c r="B786" t="s">
        <v>16</v>
      </c>
      <c r="C786" t="s">
        <v>40</v>
      </c>
      <c r="D786" t="s">
        <v>18</v>
      </c>
      <c r="E786" s="3">
        <v>23.2</v>
      </c>
      <c r="F786" s="3">
        <v>5.54</v>
      </c>
      <c r="G786" s="3">
        <v>33.31</v>
      </c>
      <c r="H786" s="4">
        <v>218.03</v>
      </c>
      <c r="I786" s="3">
        <v>52.12</v>
      </c>
      <c r="J786" t="s">
        <v>37</v>
      </c>
      <c r="K786" s="4">
        <v>3.5959300000000001</v>
      </c>
      <c r="L786" s="6" cm="1">
        <f t="array" ref="L786">_xlfn.PERCENTILE.INC(_xlfn._xlws.FILTER(tabla_base[Rendimiento_por_hectarea_ton], tabla_base[tipo_cultivo]=tabla_base[[#This Row],[tipo_cultivo]]), 0.75)</f>
        <v>5.2079399999999998</v>
      </c>
      <c r="M786" s="7" t="str">
        <f>IF(tabla_base[[#This Row],[Rendimiento_por_hectarea_ton]]&gt;tabla_base[[#This Row],[percentil_0,75]],"Sí","No")</f>
        <v>No</v>
      </c>
      <c r="N786" s="3">
        <v>0.81</v>
      </c>
      <c r="O786" t="s">
        <v>19</v>
      </c>
    </row>
    <row r="787" spans="1:15" x14ac:dyDescent="0.35">
      <c r="A787" t="s">
        <v>821</v>
      </c>
      <c r="B787" t="s">
        <v>22</v>
      </c>
      <c r="C787" t="s">
        <v>40</v>
      </c>
      <c r="D787" t="s">
        <v>31</v>
      </c>
      <c r="E787" s="3">
        <v>32.549999999999997</v>
      </c>
      <c r="F787" s="3">
        <v>5.57</v>
      </c>
      <c r="G787" s="3">
        <v>22.73</v>
      </c>
      <c r="H787" s="4">
        <v>269.08999999999997</v>
      </c>
      <c r="I787" s="3">
        <v>69.319999999999993</v>
      </c>
      <c r="J787" t="s">
        <v>19</v>
      </c>
      <c r="K787" s="4">
        <v>5.6001799999999999</v>
      </c>
      <c r="L787" s="6" cm="1">
        <f t="array" ref="L787">_xlfn.PERCENTILE.INC(_xlfn._xlws.FILTER(tabla_base[Rendimiento_por_hectarea_ton], tabla_base[tipo_cultivo]=tabla_base[[#This Row],[tipo_cultivo]]), 0.75)</f>
        <v>5.1742550000000005</v>
      </c>
      <c r="M787" s="7" t="str">
        <f>IF(tabla_base[[#This Row],[Rendimiento_por_hectarea_ton]]&gt;tabla_base[[#This Row],[percentil_0,75]],"Sí","No")</f>
        <v>Sí</v>
      </c>
      <c r="N787" s="3">
        <v>0.76</v>
      </c>
      <c r="O787" t="s">
        <v>20</v>
      </c>
    </row>
    <row r="788" spans="1:15" x14ac:dyDescent="0.35">
      <c r="A788" t="s">
        <v>822</v>
      </c>
      <c r="B788" t="s">
        <v>22</v>
      </c>
      <c r="C788" t="s">
        <v>23</v>
      </c>
      <c r="D788" t="s">
        <v>33</v>
      </c>
      <c r="E788" s="3">
        <v>22.35</v>
      </c>
      <c r="F788" s="3">
        <v>5.54</v>
      </c>
      <c r="G788" s="3">
        <v>16.329999999999998</v>
      </c>
      <c r="H788" s="4">
        <v>220.2</v>
      </c>
      <c r="I788" s="3">
        <v>51.41</v>
      </c>
      <c r="J788" t="s">
        <v>19</v>
      </c>
      <c r="K788" s="4">
        <v>6.0731000000000002</v>
      </c>
      <c r="L788" s="6" cm="1">
        <f t="array" ref="L788">_xlfn.PERCENTILE.INC(_xlfn._xlws.FILTER(tabla_base[Rendimiento_por_hectarea_ton], tabla_base[tipo_cultivo]=tabla_base[[#This Row],[tipo_cultivo]]), 0.75)</f>
        <v>5.1635450000000001</v>
      </c>
      <c r="M788" s="7" t="str">
        <f>IF(tabla_base[[#This Row],[Rendimiento_por_hectarea_ton]]&gt;tabla_base[[#This Row],[percentil_0,75]],"Sí","No")</f>
        <v>Sí</v>
      </c>
      <c r="N788" s="3">
        <v>0.71</v>
      </c>
      <c r="O788" t="s">
        <v>26</v>
      </c>
    </row>
    <row r="789" spans="1:15" x14ac:dyDescent="0.35">
      <c r="A789" t="s">
        <v>823</v>
      </c>
      <c r="B789" t="s">
        <v>22</v>
      </c>
      <c r="C789" t="s">
        <v>17</v>
      </c>
      <c r="D789" t="s">
        <v>18</v>
      </c>
      <c r="E789" s="3">
        <v>24.82</v>
      </c>
      <c r="F789" s="3">
        <v>5.59</v>
      </c>
      <c r="G789" s="3">
        <v>31.05</v>
      </c>
      <c r="H789" s="4">
        <v>214.27</v>
      </c>
      <c r="I789" s="3">
        <v>69.099999999999994</v>
      </c>
      <c r="J789" t="s">
        <v>28</v>
      </c>
      <c r="K789" s="4">
        <v>6.3958500000000003</v>
      </c>
      <c r="L789" s="6" cm="1">
        <f t="array" ref="L789">_xlfn.PERCENTILE.INC(_xlfn._xlws.FILTER(tabla_base[Rendimiento_por_hectarea_ton], tabla_base[tipo_cultivo]=tabla_base[[#This Row],[tipo_cultivo]]), 0.75)</f>
        <v>5.2079399999999998</v>
      </c>
      <c r="M789" s="7" t="str">
        <f>IF(tabla_base[[#This Row],[Rendimiento_por_hectarea_ton]]&gt;tabla_base[[#This Row],[percentil_0,75]],"Sí","No")</f>
        <v>Sí</v>
      </c>
      <c r="N789" s="3">
        <v>0.64</v>
      </c>
      <c r="O789" t="s">
        <v>26</v>
      </c>
    </row>
    <row r="790" spans="1:15" x14ac:dyDescent="0.35">
      <c r="A790" t="s">
        <v>824</v>
      </c>
      <c r="B790" t="s">
        <v>16</v>
      </c>
      <c r="C790" t="s">
        <v>40</v>
      </c>
      <c r="D790" t="s">
        <v>31</v>
      </c>
      <c r="E790" s="3">
        <v>29.97</v>
      </c>
      <c r="F790" s="3">
        <v>6.75</v>
      </c>
      <c r="G790" s="3">
        <v>16.5</v>
      </c>
      <c r="H790" s="4">
        <v>56.12</v>
      </c>
      <c r="I790" s="3">
        <v>63.95</v>
      </c>
      <c r="J790" t="s">
        <v>25</v>
      </c>
      <c r="K790" s="4">
        <v>6.2784500000000003</v>
      </c>
      <c r="L790" s="6" cm="1">
        <f t="array" ref="L790">_xlfn.PERCENTILE.INC(_xlfn._xlws.FILTER(tabla_base[Rendimiento_por_hectarea_ton], tabla_base[tipo_cultivo]=tabla_base[[#This Row],[tipo_cultivo]]), 0.75)</f>
        <v>5.1742550000000005</v>
      </c>
      <c r="M790" s="7" t="str">
        <f>IF(tabla_base[[#This Row],[Rendimiento_por_hectarea_ton]]&gt;tabla_base[[#This Row],[percentil_0,75]],"Sí","No")</f>
        <v>Sí</v>
      </c>
      <c r="N790" s="3">
        <v>0.89</v>
      </c>
      <c r="O790" t="s">
        <v>19</v>
      </c>
    </row>
    <row r="791" spans="1:15" x14ac:dyDescent="0.35">
      <c r="A791" t="s">
        <v>825</v>
      </c>
      <c r="B791" t="s">
        <v>544</v>
      </c>
      <c r="C791" t="s">
        <v>30</v>
      </c>
      <c r="D791" t="s">
        <v>18</v>
      </c>
      <c r="E791" s="3">
        <v>23.46</v>
      </c>
      <c r="F791" s="3">
        <v>6.39</v>
      </c>
      <c r="G791" s="3">
        <v>23.28</v>
      </c>
      <c r="H791" s="4">
        <v>135.82</v>
      </c>
      <c r="I791" s="3">
        <v>74.59</v>
      </c>
      <c r="J791" t="s">
        <v>25</v>
      </c>
      <c r="K791" s="4">
        <v>5.44651</v>
      </c>
      <c r="L791" s="6" cm="1">
        <f t="array" ref="L791">_xlfn.PERCENTILE.INC(_xlfn._xlws.FILTER(tabla_base[Rendimiento_por_hectarea_ton], tabla_base[tipo_cultivo]=tabla_base[[#This Row],[tipo_cultivo]]), 0.75)</f>
        <v>5.2079399999999998</v>
      </c>
      <c r="M791" s="7" t="str">
        <f>IF(tabla_base[[#This Row],[Rendimiento_por_hectarea_ton]]&gt;tabla_base[[#This Row],[percentil_0,75]],"Sí","No")</f>
        <v>Sí</v>
      </c>
      <c r="N791" s="3">
        <v>0.56999999999999995</v>
      </c>
      <c r="O791" t="s">
        <v>19</v>
      </c>
    </row>
    <row r="792" spans="1:15" x14ac:dyDescent="0.35">
      <c r="A792" t="s">
        <v>826</v>
      </c>
      <c r="B792" t="s">
        <v>16</v>
      </c>
      <c r="C792" t="s">
        <v>30</v>
      </c>
      <c r="D792" t="s">
        <v>35</v>
      </c>
      <c r="E792" s="3">
        <v>39.01</v>
      </c>
      <c r="F792" s="3">
        <v>6.2</v>
      </c>
      <c r="G792" s="3">
        <v>30.08</v>
      </c>
      <c r="H792" s="4">
        <v>52.18</v>
      </c>
      <c r="I792" s="3">
        <v>84.15</v>
      </c>
      <c r="J792" t="s">
        <v>25</v>
      </c>
      <c r="K792" s="4">
        <v>3.6325500000000002</v>
      </c>
      <c r="L792" s="6" cm="1">
        <f t="array" ref="L792">_xlfn.PERCENTILE.INC(_xlfn._xlws.FILTER(tabla_base[Rendimiento_por_hectarea_ton], tabla_base[tipo_cultivo]=tabla_base[[#This Row],[tipo_cultivo]]), 0.75)</f>
        <v>5.1318025</v>
      </c>
      <c r="M792" s="7" t="str">
        <f>IF(tabla_base[[#This Row],[Rendimiento_por_hectarea_ton]]&gt;tabla_base[[#This Row],[percentil_0,75]],"Sí","No")</f>
        <v>No</v>
      </c>
      <c r="N792" s="3">
        <v>0.82</v>
      </c>
      <c r="O792" t="s">
        <v>19</v>
      </c>
    </row>
    <row r="793" spans="1:15" x14ac:dyDescent="0.35">
      <c r="A793" t="s">
        <v>827</v>
      </c>
      <c r="B793" t="s">
        <v>16</v>
      </c>
      <c r="C793" t="s">
        <v>40</v>
      </c>
      <c r="D793" t="s">
        <v>33</v>
      </c>
      <c r="E793" s="3">
        <v>31.56</v>
      </c>
      <c r="F793" s="3">
        <v>6.54</v>
      </c>
      <c r="G793" s="3">
        <v>30.36</v>
      </c>
      <c r="H793" s="4">
        <v>74</v>
      </c>
      <c r="I793" s="3">
        <v>71.400000000000006</v>
      </c>
      <c r="J793" t="s">
        <v>25</v>
      </c>
      <c r="K793" s="4">
        <v>5.9088099999999999</v>
      </c>
      <c r="L793" s="6" cm="1">
        <f t="array" ref="L793">_xlfn.PERCENTILE.INC(_xlfn._xlws.FILTER(tabla_base[Rendimiento_por_hectarea_ton], tabla_base[tipo_cultivo]=tabla_base[[#This Row],[tipo_cultivo]]), 0.75)</f>
        <v>5.1635450000000001</v>
      </c>
      <c r="M793" s="7" t="str">
        <f>IF(tabla_base[[#This Row],[Rendimiento_por_hectarea_ton]]&gt;tabla_base[[#This Row],[percentil_0,75]],"Sí","No")</f>
        <v>Sí</v>
      </c>
      <c r="N793" s="3">
        <v>0.8</v>
      </c>
      <c r="O793" t="s">
        <v>26</v>
      </c>
    </row>
    <row r="794" spans="1:15" x14ac:dyDescent="0.35">
      <c r="A794" t="s">
        <v>828</v>
      </c>
      <c r="B794" t="s">
        <v>22</v>
      </c>
      <c r="C794" t="s">
        <v>30</v>
      </c>
      <c r="D794" t="s">
        <v>33</v>
      </c>
      <c r="E794" s="3">
        <v>20.95</v>
      </c>
      <c r="F794" s="3">
        <v>6.25</v>
      </c>
      <c r="G794" s="3">
        <v>23.33</v>
      </c>
      <c r="H794" s="4">
        <v>150.66999999999999</v>
      </c>
      <c r="I794" s="3">
        <v>84.97</v>
      </c>
      <c r="J794" t="s">
        <v>37</v>
      </c>
      <c r="K794" s="4">
        <v>3.82525</v>
      </c>
      <c r="L794" s="6" cm="1">
        <f t="array" ref="L794">_xlfn.PERCENTILE.INC(_xlfn._xlws.FILTER(tabla_base[Rendimiento_por_hectarea_ton], tabla_base[tipo_cultivo]=tabla_base[[#This Row],[tipo_cultivo]]), 0.75)</f>
        <v>5.1635450000000001</v>
      </c>
      <c r="M794" s="7" t="str">
        <f>IF(tabla_base[[#This Row],[Rendimiento_por_hectarea_ton]]&gt;tabla_base[[#This Row],[percentil_0,75]],"Sí","No")</f>
        <v>No</v>
      </c>
      <c r="N794" s="3">
        <v>0.84</v>
      </c>
      <c r="O794" t="s">
        <v>26</v>
      </c>
    </row>
    <row r="795" spans="1:15" x14ac:dyDescent="0.35">
      <c r="A795" t="s">
        <v>829</v>
      </c>
      <c r="B795" t="s">
        <v>22</v>
      </c>
      <c r="C795" t="s">
        <v>17</v>
      </c>
      <c r="D795" t="s">
        <v>35</v>
      </c>
      <c r="E795" s="3">
        <v>36.79</v>
      </c>
      <c r="F795" s="3">
        <v>6.63</v>
      </c>
      <c r="G795" s="3">
        <v>23.32</v>
      </c>
      <c r="H795" s="4">
        <v>131.11000000000001</v>
      </c>
      <c r="I795" s="3">
        <v>52.48</v>
      </c>
      <c r="J795" t="s">
        <v>25</v>
      </c>
      <c r="K795" s="4">
        <v>5.13598</v>
      </c>
      <c r="L795" s="6" cm="1">
        <f t="array" ref="L795">_xlfn.PERCENTILE.INC(_xlfn._xlws.FILTER(tabla_base[Rendimiento_por_hectarea_ton], tabla_base[tipo_cultivo]=tabla_base[[#This Row],[tipo_cultivo]]), 0.75)</f>
        <v>5.1318025</v>
      </c>
      <c r="M795" s="7" t="str">
        <f>IF(tabla_base[[#This Row],[Rendimiento_por_hectarea_ton]]&gt;tabla_base[[#This Row],[percentil_0,75]],"Sí","No")</f>
        <v>Sí</v>
      </c>
      <c r="N795" s="3">
        <v>0.64</v>
      </c>
      <c r="O795" t="s">
        <v>26</v>
      </c>
    </row>
    <row r="796" spans="1:15" x14ac:dyDescent="0.35">
      <c r="A796" t="s">
        <v>830</v>
      </c>
      <c r="B796" t="s">
        <v>16</v>
      </c>
      <c r="C796" t="s">
        <v>23</v>
      </c>
      <c r="D796" t="s">
        <v>33</v>
      </c>
      <c r="E796" s="3">
        <v>25.23</v>
      </c>
      <c r="F796" s="3">
        <v>6.57</v>
      </c>
      <c r="G796" s="3">
        <v>23.36</v>
      </c>
      <c r="H796" s="4">
        <v>192.1</v>
      </c>
      <c r="I796" s="3">
        <v>79.34</v>
      </c>
      <c r="J796" t="s">
        <v>25</v>
      </c>
      <c r="K796" s="4">
        <v>3.6145100000000001</v>
      </c>
      <c r="L796" s="6" cm="1">
        <f t="array" ref="L796">_xlfn.PERCENTILE.INC(_xlfn._xlws.FILTER(tabla_base[Rendimiento_por_hectarea_ton], tabla_base[tipo_cultivo]=tabla_base[[#This Row],[tipo_cultivo]]), 0.75)</f>
        <v>5.1635450000000001</v>
      </c>
      <c r="M796" s="7" t="str">
        <f>IF(tabla_base[[#This Row],[Rendimiento_por_hectarea_ton]]&gt;tabla_base[[#This Row],[percentil_0,75]],"Sí","No")</f>
        <v>No</v>
      </c>
      <c r="N796" s="3">
        <v>0.51</v>
      </c>
      <c r="O796" t="s">
        <v>20</v>
      </c>
    </row>
    <row r="797" spans="1:15" x14ac:dyDescent="0.35">
      <c r="A797" t="s">
        <v>831</v>
      </c>
      <c r="B797" t="s">
        <v>16</v>
      </c>
      <c r="C797" t="s">
        <v>30</v>
      </c>
      <c r="D797" t="s">
        <v>18</v>
      </c>
      <c r="E797" s="3">
        <v>24.5</v>
      </c>
      <c r="F797" s="3">
        <v>6.96</v>
      </c>
      <c r="G797" s="3">
        <v>15.05</v>
      </c>
      <c r="H797" s="4">
        <v>78.52</v>
      </c>
      <c r="I797" s="3">
        <v>56.87</v>
      </c>
      <c r="J797" t="s">
        <v>37</v>
      </c>
      <c r="K797" s="4">
        <v>6.1879799999999996</v>
      </c>
      <c r="L797" s="6" cm="1">
        <f t="array" ref="L797">_xlfn.PERCENTILE.INC(_xlfn._xlws.FILTER(tabla_base[Rendimiento_por_hectarea_ton], tabla_base[tipo_cultivo]=tabla_base[[#This Row],[tipo_cultivo]]), 0.75)</f>
        <v>5.2079399999999998</v>
      </c>
      <c r="M797" s="7" t="str">
        <f>IF(tabla_base[[#This Row],[Rendimiento_por_hectarea_ton]]&gt;tabla_base[[#This Row],[percentil_0,75]],"Sí","No")</f>
        <v>Sí</v>
      </c>
      <c r="N797" s="3">
        <v>0.71</v>
      </c>
      <c r="O797" t="s">
        <v>26</v>
      </c>
    </row>
    <row r="798" spans="1:15" x14ac:dyDescent="0.35">
      <c r="A798" t="s">
        <v>832</v>
      </c>
      <c r="B798" t="s">
        <v>544</v>
      </c>
      <c r="C798" t="s">
        <v>17</v>
      </c>
      <c r="D798" t="s">
        <v>24</v>
      </c>
      <c r="E798" s="3">
        <v>16.73</v>
      </c>
      <c r="F798" s="3">
        <v>6.85</v>
      </c>
      <c r="G798" s="3">
        <v>21.76</v>
      </c>
      <c r="H798" s="4">
        <v>240.34</v>
      </c>
      <c r="I798" s="3">
        <v>78.42</v>
      </c>
      <c r="J798" t="s">
        <v>19</v>
      </c>
      <c r="K798" s="4">
        <v>6.1027899999999997</v>
      </c>
      <c r="L798" s="6" cm="1">
        <f t="array" ref="L798">_xlfn.PERCENTILE.INC(_xlfn._xlws.FILTER(tabla_base[Rendimiento_por_hectarea_ton], tabla_base[tipo_cultivo]=tabla_base[[#This Row],[tipo_cultivo]]), 0.75)</f>
        <v>5.3984449999999997</v>
      </c>
      <c r="M798" s="7" t="str">
        <f>IF(tabla_base[[#This Row],[Rendimiento_por_hectarea_ton]]&gt;tabla_base[[#This Row],[percentil_0,75]],"Sí","No")</f>
        <v>Sí</v>
      </c>
      <c r="N798" s="3">
        <v>0.62</v>
      </c>
      <c r="O798" t="s">
        <v>20</v>
      </c>
    </row>
    <row r="799" spans="1:15" x14ac:dyDescent="0.35">
      <c r="A799" t="s">
        <v>833</v>
      </c>
      <c r="B799" t="s">
        <v>16</v>
      </c>
      <c r="C799" t="s">
        <v>23</v>
      </c>
      <c r="D799" t="s">
        <v>547</v>
      </c>
      <c r="E799" s="3">
        <v>25.6</v>
      </c>
      <c r="F799" s="3">
        <v>6.84</v>
      </c>
      <c r="G799" s="3">
        <v>22.02</v>
      </c>
      <c r="H799" s="4">
        <v>98.16</v>
      </c>
      <c r="I799" s="3">
        <v>68.260000000000005</v>
      </c>
      <c r="J799" t="s">
        <v>37</v>
      </c>
      <c r="K799" s="4">
        <v>5.7136500000000003</v>
      </c>
      <c r="L799" s="6" cm="1">
        <f t="array" ref="L799">_xlfn.PERCENTILE.INC(_xlfn._xlws.FILTER(tabla_base[Rendimiento_por_hectarea_ton], tabla_base[tipo_cultivo]=tabla_base[[#This Row],[tipo_cultivo]]), 0.75)</f>
        <v>5.2323700000000004</v>
      </c>
      <c r="M799" s="7" t="str">
        <f>IF(tabla_base[[#This Row],[Rendimiento_por_hectarea_ton]]&gt;tabla_base[[#This Row],[percentil_0,75]],"Sí","No")</f>
        <v>Sí</v>
      </c>
      <c r="N799" s="3">
        <v>0.71</v>
      </c>
      <c r="O799" t="s">
        <v>19</v>
      </c>
    </row>
    <row r="800" spans="1:15" x14ac:dyDescent="0.35">
      <c r="A800" t="s">
        <v>834</v>
      </c>
      <c r="B800" t="s">
        <v>22</v>
      </c>
      <c r="C800" t="s">
        <v>23</v>
      </c>
      <c r="D800" t="s">
        <v>547</v>
      </c>
      <c r="E800" s="3">
        <v>21.4</v>
      </c>
      <c r="F800" s="3">
        <v>5.55</v>
      </c>
      <c r="G800" s="3">
        <v>18.239999999999998</v>
      </c>
      <c r="H800" s="4">
        <v>164.97</v>
      </c>
      <c r="I800" s="3">
        <v>54.07</v>
      </c>
      <c r="J800" t="s">
        <v>25</v>
      </c>
      <c r="K800" s="4">
        <v>5.3327900000000001</v>
      </c>
      <c r="L800" s="6" cm="1">
        <f t="array" ref="L800">_xlfn.PERCENTILE.INC(_xlfn._xlws.FILTER(tabla_base[Rendimiento_por_hectarea_ton], tabla_base[tipo_cultivo]=tabla_base[[#This Row],[tipo_cultivo]]), 0.75)</f>
        <v>5.2323700000000004</v>
      </c>
      <c r="M800" s="7" t="str">
        <f>IF(tabla_base[[#This Row],[Rendimiento_por_hectarea_ton]]&gt;tabla_base[[#This Row],[percentil_0,75]],"Sí","No")</f>
        <v>Sí</v>
      </c>
      <c r="N800" s="3">
        <v>0.81</v>
      </c>
      <c r="O800" t="s">
        <v>26</v>
      </c>
    </row>
    <row r="801" spans="1:15" x14ac:dyDescent="0.35">
      <c r="A801" t="s">
        <v>835</v>
      </c>
      <c r="B801" t="s">
        <v>544</v>
      </c>
      <c r="C801" t="s">
        <v>17</v>
      </c>
      <c r="D801" t="s">
        <v>31</v>
      </c>
      <c r="E801" s="3">
        <v>32.4</v>
      </c>
      <c r="F801" s="3">
        <v>5.52</v>
      </c>
      <c r="G801" s="3">
        <v>16.04</v>
      </c>
      <c r="H801" s="4">
        <v>158.72</v>
      </c>
      <c r="I801" s="3">
        <v>50.1</v>
      </c>
      <c r="J801" t="s">
        <v>19</v>
      </c>
      <c r="K801" s="4">
        <v>5.5676899999999998</v>
      </c>
      <c r="L801" s="6" cm="1">
        <f t="array" ref="L801">_xlfn.PERCENTILE.INC(_xlfn._xlws.FILTER(tabla_base[Rendimiento_por_hectarea_ton], tabla_base[tipo_cultivo]=tabla_base[[#This Row],[tipo_cultivo]]), 0.75)</f>
        <v>5.1742550000000005</v>
      </c>
      <c r="M801" s="7" t="str">
        <f>IF(tabla_base[[#This Row],[Rendimiento_por_hectarea_ton]]&gt;tabla_base[[#This Row],[percentil_0,75]],"Sí","No")</f>
        <v>Sí</v>
      </c>
      <c r="N801" s="3">
        <v>0.8</v>
      </c>
      <c r="O801" t="s">
        <v>26</v>
      </c>
    </row>
    <row r="802" spans="1:15" x14ac:dyDescent="0.35">
      <c r="A802" t="s">
        <v>836</v>
      </c>
      <c r="B802" t="s">
        <v>16</v>
      </c>
      <c r="C802" t="s">
        <v>23</v>
      </c>
      <c r="D802" t="s">
        <v>18</v>
      </c>
      <c r="E802" s="3">
        <v>16.649999999999999</v>
      </c>
      <c r="F802" s="3">
        <v>6.78</v>
      </c>
      <c r="G802" s="3">
        <v>26.14</v>
      </c>
      <c r="H802" s="4">
        <v>98.72</v>
      </c>
      <c r="I802" s="3">
        <v>67.64</v>
      </c>
      <c r="J802" t="s">
        <v>25</v>
      </c>
      <c r="K802" s="4">
        <v>4.6473199999999997</v>
      </c>
      <c r="L802" s="6" cm="1">
        <f t="array" ref="L802">_xlfn.PERCENTILE.INC(_xlfn._xlws.FILTER(tabla_base[Rendimiento_por_hectarea_ton], tabla_base[tipo_cultivo]=tabla_base[[#This Row],[tipo_cultivo]]), 0.75)</f>
        <v>5.2079399999999998</v>
      </c>
      <c r="M802" s="7" t="str">
        <f>IF(tabla_base[[#This Row],[Rendimiento_por_hectarea_ton]]&gt;tabla_base[[#This Row],[percentil_0,75]],"Sí","No")</f>
        <v>No</v>
      </c>
      <c r="N802" s="3">
        <v>0.66</v>
      </c>
      <c r="O802" t="s">
        <v>19</v>
      </c>
    </row>
    <row r="803" spans="1:15" x14ac:dyDescent="0.35">
      <c r="A803" t="s">
        <v>837</v>
      </c>
      <c r="B803" t="s">
        <v>22</v>
      </c>
      <c r="C803" t="s">
        <v>17</v>
      </c>
      <c r="D803" t="s">
        <v>18</v>
      </c>
      <c r="E803" s="3">
        <v>37.24</v>
      </c>
      <c r="F803" s="3">
        <v>6.75</v>
      </c>
      <c r="G803" s="3">
        <v>20.54</v>
      </c>
      <c r="H803" s="4">
        <v>128.07</v>
      </c>
      <c r="I803" s="3">
        <v>51.22</v>
      </c>
      <c r="J803" t="s">
        <v>25</v>
      </c>
      <c r="K803" s="4">
        <v>6.0488999999999997</v>
      </c>
      <c r="L803" s="6" cm="1">
        <f t="array" ref="L803">_xlfn.PERCENTILE.INC(_xlfn._xlws.FILTER(tabla_base[Rendimiento_por_hectarea_ton], tabla_base[tipo_cultivo]=tabla_base[[#This Row],[tipo_cultivo]]), 0.75)</f>
        <v>5.2079399999999998</v>
      </c>
      <c r="M803" s="7" t="str">
        <f>IF(tabla_base[[#This Row],[Rendimiento_por_hectarea_ton]]&gt;tabla_base[[#This Row],[percentil_0,75]],"Sí","No")</f>
        <v>Sí</v>
      </c>
      <c r="N803" s="3">
        <v>0.82</v>
      </c>
      <c r="O803" t="s">
        <v>20</v>
      </c>
    </row>
    <row r="804" spans="1:15" x14ac:dyDescent="0.35">
      <c r="A804" t="s">
        <v>838</v>
      </c>
      <c r="B804" t="s">
        <v>22</v>
      </c>
      <c r="C804" t="s">
        <v>30</v>
      </c>
      <c r="D804" t="s">
        <v>33</v>
      </c>
      <c r="E804" s="3">
        <v>39.69</v>
      </c>
      <c r="F804" s="3">
        <v>7.17</v>
      </c>
      <c r="G804" s="3">
        <v>34.44</v>
      </c>
      <c r="H804" s="4">
        <v>229.39</v>
      </c>
      <c r="I804" s="3">
        <v>81.31</v>
      </c>
      <c r="J804" t="s">
        <v>19</v>
      </c>
      <c r="K804" s="4">
        <v>4.1469300000000002</v>
      </c>
      <c r="L804" s="6" cm="1">
        <f t="array" ref="L804">_xlfn.PERCENTILE.INC(_xlfn._xlws.FILTER(tabla_base[Rendimiento_por_hectarea_ton], tabla_base[tipo_cultivo]=tabla_base[[#This Row],[tipo_cultivo]]), 0.75)</f>
        <v>5.1635450000000001</v>
      </c>
      <c r="M804" s="7" t="str">
        <f>IF(tabla_base[[#This Row],[Rendimiento_por_hectarea_ton]]&gt;tabla_base[[#This Row],[percentil_0,75]],"Sí","No")</f>
        <v>No</v>
      </c>
      <c r="N804" s="3">
        <v>0.9</v>
      </c>
      <c r="O804" t="s">
        <v>19</v>
      </c>
    </row>
    <row r="805" spans="1:15" x14ac:dyDescent="0.35">
      <c r="A805" t="s">
        <v>839</v>
      </c>
      <c r="B805" t="s">
        <v>22</v>
      </c>
      <c r="C805" t="s">
        <v>17</v>
      </c>
      <c r="D805" t="s">
        <v>35</v>
      </c>
      <c r="E805" s="3">
        <v>16.22</v>
      </c>
      <c r="F805" s="3">
        <v>5.99</v>
      </c>
      <c r="G805" s="3">
        <v>15.69</v>
      </c>
      <c r="H805" s="4">
        <v>145.44999999999999</v>
      </c>
      <c r="I805" s="3">
        <v>60.04</v>
      </c>
      <c r="J805" t="s">
        <v>19</v>
      </c>
      <c r="K805" s="4">
        <v>5.8091299999999997</v>
      </c>
      <c r="L805" s="6" cm="1">
        <f t="array" ref="L805">_xlfn.PERCENTILE.INC(_xlfn._xlws.FILTER(tabla_base[Rendimiento_por_hectarea_ton], tabla_base[tipo_cultivo]=tabla_base[[#This Row],[tipo_cultivo]]), 0.75)</f>
        <v>5.1318025</v>
      </c>
      <c r="M805" s="7" t="str">
        <f>IF(tabla_base[[#This Row],[Rendimiento_por_hectarea_ton]]&gt;tabla_base[[#This Row],[percentil_0,75]],"Sí","No")</f>
        <v>Sí</v>
      </c>
      <c r="N805" s="3">
        <v>0.75</v>
      </c>
      <c r="O805" t="s">
        <v>20</v>
      </c>
    </row>
    <row r="806" spans="1:15" x14ac:dyDescent="0.35">
      <c r="A806" t="s">
        <v>840</v>
      </c>
      <c r="B806" t="s">
        <v>16</v>
      </c>
      <c r="C806" t="s">
        <v>23</v>
      </c>
      <c r="D806" t="s">
        <v>24</v>
      </c>
      <c r="E806" s="3">
        <v>22.63</v>
      </c>
      <c r="F806" s="3">
        <v>6.45</v>
      </c>
      <c r="G806" s="3">
        <v>25.32</v>
      </c>
      <c r="H806" s="4">
        <v>210.74</v>
      </c>
      <c r="I806" s="3">
        <v>82.45</v>
      </c>
      <c r="J806" t="s">
        <v>19</v>
      </c>
      <c r="K806" s="4">
        <v>3.5625499999999999</v>
      </c>
      <c r="L806" s="6" cm="1">
        <f t="array" ref="L806">_xlfn.PERCENTILE.INC(_xlfn._xlws.FILTER(tabla_base[Rendimiento_por_hectarea_ton], tabla_base[tipo_cultivo]=tabla_base[[#This Row],[tipo_cultivo]]), 0.75)</f>
        <v>5.3984449999999997</v>
      </c>
      <c r="M806" s="7" t="str">
        <f>IF(tabla_base[[#This Row],[Rendimiento_por_hectarea_ton]]&gt;tabla_base[[#This Row],[percentil_0,75]],"Sí","No")</f>
        <v>No</v>
      </c>
      <c r="N806" s="3">
        <v>0.56000000000000005</v>
      </c>
      <c r="O806" t="s">
        <v>20</v>
      </c>
    </row>
    <row r="807" spans="1:15" x14ac:dyDescent="0.35">
      <c r="A807" t="s">
        <v>841</v>
      </c>
      <c r="B807" t="s">
        <v>16</v>
      </c>
      <c r="C807" t="s">
        <v>40</v>
      </c>
      <c r="D807" t="s">
        <v>18</v>
      </c>
      <c r="E807" s="3">
        <v>20.64</v>
      </c>
      <c r="F807" s="3">
        <v>7.42</v>
      </c>
      <c r="G807" s="3">
        <v>26.2</v>
      </c>
      <c r="H807" s="4">
        <v>240.31</v>
      </c>
      <c r="I807" s="3">
        <v>56.91</v>
      </c>
      <c r="J807" t="s">
        <v>37</v>
      </c>
      <c r="K807" s="4">
        <v>2.83344</v>
      </c>
      <c r="L807" s="6" cm="1">
        <f t="array" ref="L807">_xlfn.PERCENTILE.INC(_xlfn._xlws.FILTER(tabla_base[Rendimiento_por_hectarea_ton], tabla_base[tipo_cultivo]=tabla_base[[#This Row],[tipo_cultivo]]), 0.75)</f>
        <v>5.2079399999999998</v>
      </c>
      <c r="M807" s="7" t="str">
        <f>IF(tabla_base[[#This Row],[Rendimiento_por_hectarea_ton]]&gt;tabla_base[[#This Row],[percentil_0,75]],"Sí","No")</f>
        <v>No</v>
      </c>
      <c r="N807" s="3">
        <v>0.89</v>
      </c>
      <c r="O807" t="s">
        <v>26</v>
      </c>
    </row>
    <row r="808" spans="1:15" x14ac:dyDescent="0.35">
      <c r="A808" t="s">
        <v>842</v>
      </c>
      <c r="B808" t="s">
        <v>16</v>
      </c>
      <c r="C808" t="s">
        <v>23</v>
      </c>
      <c r="D808" t="s">
        <v>547</v>
      </c>
      <c r="E808" s="3">
        <v>20.12</v>
      </c>
      <c r="F808" s="3">
        <v>6</v>
      </c>
      <c r="G808" s="3">
        <v>24.1</v>
      </c>
      <c r="H808" s="4">
        <v>192.24</v>
      </c>
      <c r="I808" s="3">
        <v>70.19</v>
      </c>
      <c r="J808" t="s">
        <v>28</v>
      </c>
      <c r="K808" s="4">
        <v>6.0213400000000004</v>
      </c>
      <c r="L808" s="6" cm="1">
        <f t="array" ref="L808">_xlfn.PERCENTILE.INC(_xlfn._xlws.FILTER(tabla_base[Rendimiento_por_hectarea_ton], tabla_base[tipo_cultivo]=tabla_base[[#This Row],[tipo_cultivo]]), 0.75)</f>
        <v>5.2323700000000004</v>
      </c>
      <c r="M808" s="7" t="str">
        <f>IF(tabla_base[[#This Row],[Rendimiento_por_hectarea_ton]]&gt;tabla_base[[#This Row],[percentil_0,75]],"Sí","No")</f>
        <v>Sí</v>
      </c>
      <c r="N808" s="3">
        <v>0.57999999999999996</v>
      </c>
      <c r="O808" t="s">
        <v>19</v>
      </c>
    </row>
    <row r="809" spans="1:15" x14ac:dyDescent="0.35">
      <c r="A809" t="s">
        <v>843</v>
      </c>
      <c r="B809" t="s">
        <v>544</v>
      </c>
      <c r="C809" t="s">
        <v>17</v>
      </c>
      <c r="D809" t="s">
        <v>35</v>
      </c>
      <c r="E809" s="3">
        <v>23.87</v>
      </c>
      <c r="F809" s="3">
        <v>6.21</v>
      </c>
      <c r="G809" s="3">
        <v>24.16</v>
      </c>
      <c r="H809" s="4">
        <v>230.85</v>
      </c>
      <c r="I809" s="3">
        <v>73.28</v>
      </c>
      <c r="J809" t="s">
        <v>19</v>
      </c>
      <c r="K809" s="4">
        <v>3.9169200000000002</v>
      </c>
      <c r="L809" s="6" cm="1">
        <f t="array" ref="L809">_xlfn.PERCENTILE.INC(_xlfn._xlws.FILTER(tabla_base[Rendimiento_por_hectarea_ton], tabla_base[tipo_cultivo]=tabla_base[[#This Row],[tipo_cultivo]]), 0.75)</f>
        <v>5.1318025</v>
      </c>
      <c r="M809" s="7" t="str">
        <f>IF(tabla_base[[#This Row],[Rendimiento_por_hectarea_ton]]&gt;tabla_base[[#This Row],[percentil_0,75]],"Sí","No")</f>
        <v>No</v>
      </c>
      <c r="N809" s="3">
        <v>0.57999999999999996</v>
      </c>
      <c r="O809" t="s">
        <v>26</v>
      </c>
    </row>
    <row r="810" spans="1:15" x14ac:dyDescent="0.35">
      <c r="A810" t="s">
        <v>844</v>
      </c>
      <c r="B810" t="s">
        <v>16</v>
      </c>
      <c r="C810" t="s">
        <v>23</v>
      </c>
      <c r="D810" t="s">
        <v>547</v>
      </c>
      <c r="E810" s="3">
        <v>23.73</v>
      </c>
      <c r="F810" s="3">
        <v>6.98</v>
      </c>
      <c r="G810" s="3">
        <v>27.56</v>
      </c>
      <c r="H810" s="4">
        <v>50.05</v>
      </c>
      <c r="I810" s="3">
        <v>61.66</v>
      </c>
      <c r="J810" t="s">
        <v>19</v>
      </c>
      <c r="K810" s="4">
        <v>3.31609</v>
      </c>
      <c r="L810" s="6" cm="1">
        <f t="array" ref="L810">_xlfn.PERCENTILE.INC(_xlfn._xlws.FILTER(tabla_base[Rendimiento_por_hectarea_ton], tabla_base[tipo_cultivo]=tabla_base[[#This Row],[tipo_cultivo]]), 0.75)</f>
        <v>5.2323700000000004</v>
      </c>
      <c r="M810" s="7" t="str">
        <f>IF(tabla_base[[#This Row],[Rendimiento_por_hectarea_ton]]&gt;tabla_base[[#This Row],[percentil_0,75]],"Sí","No")</f>
        <v>No</v>
      </c>
      <c r="N810" s="3">
        <v>0.87</v>
      </c>
      <c r="O810" t="s">
        <v>20</v>
      </c>
    </row>
    <row r="811" spans="1:15" x14ac:dyDescent="0.35">
      <c r="A811" t="s">
        <v>845</v>
      </c>
      <c r="B811" t="s">
        <v>22</v>
      </c>
      <c r="C811" t="s">
        <v>23</v>
      </c>
      <c r="D811" t="s">
        <v>31</v>
      </c>
      <c r="E811" s="3">
        <v>24.91</v>
      </c>
      <c r="F811" s="3">
        <v>7.36</v>
      </c>
      <c r="G811" s="3">
        <v>17.46</v>
      </c>
      <c r="H811" s="4">
        <v>97.36</v>
      </c>
      <c r="I811" s="3">
        <v>71.75</v>
      </c>
      <c r="J811" t="s">
        <v>19</v>
      </c>
      <c r="K811" s="4">
        <v>3.6284999999999998</v>
      </c>
      <c r="L811" s="6" cm="1">
        <f t="array" ref="L811">_xlfn.PERCENTILE.INC(_xlfn._xlws.FILTER(tabla_base[Rendimiento_por_hectarea_ton], tabla_base[tipo_cultivo]=tabla_base[[#This Row],[tipo_cultivo]]), 0.75)</f>
        <v>5.1742550000000005</v>
      </c>
      <c r="M811" s="7" t="str">
        <f>IF(tabla_base[[#This Row],[Rendimiento_por_hectarea_ton]]&gt;tabla_base[[#This Row],[percentil_0,75]],"Sí","No")</f>
        <v>No</v>
      </c>
      <c r="N811" s="3">
        <v>0.61</v>
      </c>
      <c r="O811" t="s">
        <v>20</v>
      </c>
    </row>
    <row r="812" spans="1:15" x14ac:dyDescent="0.35">
      <c r="A812" t="s">
        <v>846</v>
      </c>
      <c r="B812" t="s">
        <v>16</v>
      </c>
      <c r="C812" t="s">
        <v>40</v>
      </c>
      <c r="D812" t="s">
        <v>18</v>
      </c>
      <c r="E812" s="3">
        <v>20.29</v>
      </c>
      <c r="F812" s="3">
        <v>5.92</v>
      </c>
      <c r="G812" s="3">
        <v>15.72</v>
      </c>
      <c r="H812" s="4">
        <v>97.3</v>
      </c>
      <c r="I812" s="3">
        <v>61.65</v>
      </c>
      <c r="J812" t="s">
        <v>28</v>
      </c>
      <c r="K812" s="4">
        <v>5.8079400000000003</v>
      </c>
      <c r="L812" s="6" cm="1">
        <f t="array" ref="L812">_xlfn.PERCENTILE.INC(_xlfn._xlws.FILTER(tabla_base[Rendimiento_por_hectarea_ton], tabla_base[tipo_cultivo]=tabla_base[[#This Row],[tipo_cultivo]]), 0.75)</f>
        <v>5.2079399999999998</v>
      </c>
      <c r="M812" s="7" t="str">
        <f>IF(tabla_base[[#This Row],[Rendimiento_por_hectarea_ton]]&gt;tabla_base[[#This Row],[percentil_0,75]],"Sí","No")</f>
        <v>Sí</v>
      </c>
      <c r="N812" s="3">
        <v>0.62</v>
      </c>
      <c r="O812" t="s">
        <v>26</v>
      </c>
    </row>
    <row r="813" spans="1:15" x14ac:dyDescent="0.35">
      <c r="A813" t="s">
        <v>847</v>
      </c>
      <c r="B813" t="s">
        <v>16</v>
      </c>
      <c r="C813" t="s">
        <v>40</v>
      </c>
      <c r="D813" t="s">
        <v>35</v>
      </c>
      <c r="E813" s="3">
        <v>30.4</v>
      </c>
      <c r="F813" s="3">
        <v>7.2</v>
      </c>
      <c r="G813" s="3">
        <v>29.68</v>
      </c>
      <c r="H813" s="4">
        <v>216.86</v>
      </c>
      <c r="I813" s="3">
        <v>68.16</v>
      </c>
      <c r="J813" t="s">
        <v>28</v>
      </c>
      <c r="K813" s="4">
        <v>4.2785200000000003</v>
      </c>
      <c r="L813" s="6" cm="1">
        <f t="array" ref="L813">_xlfn.PERCENTILE.INC(_xlfn._xlws.FILTER(tabla_base[Rendimiento_por_hectarea_ton], tabla_base[tipo_cultivo]=tabla_base[[#This Row],[tipo_cultivo]]), 0.75)</f>
        <v>5.1318025</v>
      </c>
      <c r="M813" s="7" t="str">
        <f>IF(tabla_base[[#This Row],[Rendimiento_por_hectarea_ton]]&gt;tabla_base[[#This Row],[percentil_0,75]],"Sí","No")</f>
        <v>No</v>
      </c>
      <c r="N813" s="3">
        <v>0.77</v>
      </c>
      <c r="O813" t="s">
        <v>20</v>
      </c>
    </row>
    <row r="814" spans="1:15" x14ac:dyDescent="0.35">
      <c r="A814" t="s">
        <v>848</v>
      </c>
      <c r="B814" t="s">
        <v>22</v>
      </c>
      <c r="C814" t="s">
        <v>17</v>
      </c>
      <c r="D814" t="s">
        <v>547</v>
      </c>
      <c r="E814" s="3">
        <v>31.66</v>
      </c>
      <c r="F814" s="3">
        <v>6.54</v>
      </c>
      <c r="G814" s="3">
        <v>26.82</v>
      </c>
      <c r="H814" s="4">
        <v>75.12</v>
      </c>
      <c r="I814" s="3">
        <v>88.49</v>
      </c>
      <c r="J814" t="s">
        <v>19</v>
      </c>
      <c r="K814" s="4">
        <v>2.7566000000000002</v>
      </c>
      <c r="L814" s="6" cm="1">
        <f t="array" ref="L814">_xlfn.PERCENTILE.INC(_xlfn._xlws.FILTER(tabla_base[Rendimiento_por_hectarea_ton], tabla_base[tipo_cultivo]=tabla_base[[#This Row],[tipo_cultivo]]), 0.75)</f>
        <v>5.2323700000000004</v>
      </c>
      <c r="M814" s="7" t="str">
        <f>IF(tabla_base[[#This Row],[Rendimiento_por_hectarea_ton]]&gt;tabla_base[[#This Row],[percentil_0,75]],"Sí","No")</f>
        <v>No</v>
      </c>
      <c r="N814" s="3">
        <v>0.84</v>
      </c>
      <c r="O814" t="s">
        <v>19</v>
      </c>
    </row>
    <row r="815" spans="1:15" x14ac:dyDescent="0.35">
      <c r="A815" t="s">
        <v>849</v>
      </c>
      <c r="B815" t="s">
        <v>544</v>
      </c>
      <c r="C815" t="s">
        <v>30</v>
      </c>
      <c r="D815" t="s">
        <v>35</v>
      </c>
      <c r="E815" s="3">
        <v>31.18</v>
      </c>
      <c r="F815" s="3">
        <v>7.46</v>
      </c>
      <c r="G815" s="3">
        <v>30.74</v>
      </c>
      <c r="H815" s="4">
        <v>274.11</v>
      </c>
      <c r="I815" s="3">
        <v>66.13</v>
      </c>
      <c r="J815" t="s">
        <v>19</v>
      </c>
      <c r="K815" s="4">
        <v>4.1291799999999999</v>
      </c>
      <c r="L815" s="6" cm="1">
        <f t="array" ref="L815">_xlfn.PERCENTILE.INC(_xlfn._xlws.FILTER(tabla_base[Rendimiento_por_hectarea_ton], tabla_base[tipo_cultivo]=tabla_base[[#This Row],[tipo_cultivo]]), 0.75)</f>
        <v>5.1318025</v>
      </c>
      <c r="M815" s="7" t="str">
        <f>IF(tabla_base[[#This Row],[Rendimiento_por_hectarea_ton]]&gt;tabla_base[[#This Row],[percentil_0,75]],"Sí","No")</f>
        <v>No</v>
      </c>
      <c r="N815" s="3">
        <v>0.71</v>
      </c>
      <c r="O815" t="s">
        <v>19</v>
      </c>
    </row>
    <row r="816" spans="1:15" x14ac:dyDescent="0.35">
      <c r="A816" t="s">
        <v>850</v>
      </c>
      <c r="B816" t="s">
        <v>22</v>
      </c>
      <c r="C816" t="s">
        <v>30</v>
      </c>
      <c r="D816" t="s">
        <v>547</v>
      </c>
      <c r="E816" s="3">
        <v>28.89</v>
      </c>
      <c r="F816" s="3">
        <v>6.34</v>
      </c>
      <c r="G816" s="3">
        <v>31.78</v>
      </c>
      <c r="H816" s="4">
        <v>126.52</v>
      </c>
      <c r="I816" s="3">
        <v>67.900000000000006</v>
      </c>
      <c r="J816" t="s">
        <v>37</v>
      </c>
      <c r="K816" s="4">
        <v>5.2690000000000001</v>
      </c>
      <c r="L816" s="6" cm="1">
        <f t="array" ref="L816">_xlfn.PERCENTILE.INC(_xlfn._xlws.FILTER(tabla_base[Rendimiento_por_hectarea_ton], tabla_base[tipo_cultivo]=tabla_base[[#This Row],[tipo_cultivo]]), 0.75)</f>
        <v>5.2323700000000004</v>
      </c>
      <c r="M816" s="7" t="str">
        <f>IF(tabla_base[[#This Row],[Rendimiento_por_hectarea_ton]]&gt;tabla_base[[#This Row],[percentil_0,75]],"Sí","No")</f>
        <v>Sí</v>
      </c>
      <c r="N816" s="3">
        <v>0.81</v>
      </c>
      <c r="O816" t="s">
        <v>20</v>
      </c>
    </row>
    <row r="817" spans="1:15" x14ac:dyDescent="0.35">
      <c r="A817" t="s">
        <v>851</v>
      </c>
      <c r="B817" t="s">
        <v>22</v>
      </c>
      <c r="C817" t="s">
        <v>17</v>
      </c>
      <c r="D817" t="s">
        <v>35</v>
      </c>
      <c r="E817" s="3">
        <v>25.99</v>
      </c>
      <c r="F817" s="3">
        <v>5.95</v>
      </c>
      <c r="G817" s="3">
        <v>28.83</v>
      </c>
      <c r="H817" s="4">
        <v>138.27000000000001</v>
      </c>
      <c r="I817" s="3">
        <v>74.58</v>
      </c>
      <c r="J817" t="s">
        <v>19</v>
      </c>
      <c r="K817" s="4">
        <v>4.02013</v>
      </c>
      <c r="L817" s="6" cm="1">
        <f t="array" ref="L817">_xlfn.PERCENTILE.INC(_xlfn._xlws.FILTER(tabla_base[Rendimiento_por_hectarea_ton], tabla_base[tipo_cultivo]=tabla_base[[#This Row],[tipo_cultivo]]), 0.75)</f>
        <v>5.1318025</v>
      </c>
      <c r="M817" s="7" t="str">
        <f>IF(tabla_base[[#This Row],[Rendimiento_por_hectarea_ton]]&gt;tabla_base[[#This Row],[percentil_0,75]],"Sí","No")</f>
        <v>No</v>
      </c>
      <c r="N817" s="3">
        <v>0.83</v>
      </c>
      <c r="O817" t="s">
        <v>20</v>
      </c>
    </row>
    <row r="818" spans="1:15" x14ac:dyDescent="0.35">
      <c r="A818" t="s">
        <v>852</v>
      </c>
      <c r="B818" t="s">
        <v>22</v>
      </c>
      <c r="C818" t="s">
        <v>30</v>
      </c>
      <c r="D818" t="s">
        <v>31</v>
      </c>
      <c r="E818" s="3">
        <v>19.52</v>
      </c>
      <c r="F818" s="3">
        <v>5.89</v>
      </c>
      <c r="G818" s="3">
        <v>21.8</v>
      </c>
      <c r="H818" s="4">
        <v>96.96</v>
      </c>
      <c r="I818" s="3">
        <v>57.01</v>
      </c>
      <c r="J818" t="s">
        <v>28</v>
      </c>
      <c r="K818" s="4">
        <v>2.8748399999999998</v>
      </c>
      <c r="L818" s="6" cm="1">
        <f t="array" ref="L818">_xlfn.PERCENTILE.INC(_xlfn._xlws.FILTER(tabla_base[Rendimiento_por_hectarea_ton], tabla_base[tipo_cultivo]=tabla_base[[#This Row],[tipo_cultivo]]), 0.75)</f>
        <v>5.1742550000000005</v>
      </c>
      <c r="M818" s="7" t="str">
        <f>IF(tabla_base[[#This Row],[Rendimiento_por_hectarea_ton]]&gt;tabla_base[[#This Row],[percentil_0,75]],"Sí","No")</f>
        <v>No</v>
      </c>
      <c r="N818" s="3">
        <v>0.88</v>
      </c>
      <c r="O818" t="s">
        <v>19</v>
      </c>
    </row>
    <row r="819" spans="1:15" x14ac:dyDescent="0.35">
      <c r="A819" t="s">
        <v>853</v>
      </c>
      <c r="B819" t="s">
        <v>22</v>
      </c>
      <c r="C819" t="s">
        <v>30</v>
      </c>
      <c r="D819" t="s">
        <v>35</v>
      </c>
      <c r="E819" s="3">
        <v>29.27</v>
      </c>
      <c r="F819" s="3">
        <v>6.13</v>
      </c>
      <c r="G819" s="3">
        <v>15.82</v>
      </c>
      <c r="H819" s="4">
        <v>298.14</v>
      </c>
      <c r="I819" s="3">
        <v>82.34</v>
      </c>
      <c r="J819" t="s">
        <v>25</v>
      </c>
      <c r="K819" s="4">
        <v>3.7233800000000001</v>
      </c>
      <c r="L819" s="6" cm="1">
        <f t="array" ref="L819">_xlfn.PERCENTILE.INC(_xlfn._xlws.FILTER(tabla_base[Rendimiento_por_hectarea_ton], tabla_base[tipo_cultivo]=tabla_base[[#This Row],[tipo_cultivo]]), 0.75)</f>
        <v>5.1318025</v>
      </c>
      <c r="M819" s="7" t="str">
        <f>IF(tabla_base[[#This Row],[Rendimiento_por_hectarea_ton]]&gt;tabla_base[[#This Row],[percentil_0,75]],"Sí","No")</f>
        <v>No</v>
      </c>
      <c r="N819" s="3">
        <v>0.68</v>
      </c>
      <c r="O819" t="s">
        <v>19</v>
      </c>
    </row>
    <row r="820" spans="1:15" x14ac:dyDescent="0.35">
      <c r="A820" t="s">
        <v>854</v>
      </c>
      <c r="B820" t="s">
        <v>16</v>
      </c>
      <c r="C820" t="s">
        <v>40</v>
      </c>
      <c r="D820" t="s">
        <v>31</v>
      </c>
      <c r="E820" s="3">
        <v>34</v>
      </c>
      <c r="F820" s="3">
        <v>6.41</v>
      </c>
      <c r="G820" s="3">
        <v>23.53</v>
      </c>
      <c r="H820" s="4">
        <v>204.45</v>
      </c>
      <c r="I820" s="3">
        <v>53.43</v>
      </c>
      <c r="J820" t="s">
        <v>25</v>
      </c>
      <c r="K820" s="4">
        <v>4.1161700000000003</v>
      </c>
      <c r="L820" s="6" cm="1">
        <f t="array" ref="L820">_xlfn.PERCENTILE.INC(_xlfn._xlws.FILTER(tabla_base[Rendimiento_por_hectarea_ton], tabla_base[tipo_cultivo]=tabla_base[[#This Row],[tipo_cultivo]]), 0.75)</f>
        <v>5.1742550000000005</v>
      </c>
      <c r="M820" s="7" t="str">
        <f>IF(tabla_base[[#This Row],[Rendimiento_por_hectarea_ton]]&gt;tabla_base[[#This Row],[percentil_0,75]],"Sí","No")</f>
        <v>No</v>
      </c>
      <c r="N820" s="3">
        <v>0.51</v>
      </c>
      <c r="O820" t="s">
        <v>20</v>
      </c>
    </row>
    <row r="821" spans="1:15" x14ac:dyDescent="0.35">
      <c r="A821" t="s">
        <v>855</v>
      </c>
      <c r="B821" t="s">
        <v>22</v>
      </c>
      <c r="C821" t="s">
        <v>17</v>
      </c>
      <c r="D821" t="s">
        <v>24</v>
      </c>
      <c r="E821" s="3">
        <v>24.75</v>
      </c>
      <c r="F821" s="3">
        <v>7</v>
      </c>
      <c r="G821" s="3">
        <v>25.84</v>
      </c>
      <c r="H821" s="4">
        <v>114.87</v>
      </c>
      <c r="I821" s="3">
        <v>60.55</v>
      </c>
      <c r="J821" t="s">
        <v>25</v>
      </c>
      <c r="K821" s="4">
        <v>4.2115200000000002</v>
      </c>
      <c r="L821" s="6" cm="1">
        <f t="array" ref="L821">_xlfn.PERCENTILE.INC(_xlfn._xlws.FILTER(tabla_base[Rendimiento_por_hectarea_ton], tabla_base[tipo_cultivo]=tabla_base[[#This Row],[tipo_cultivo]]), 0.75)</f>
        <v>5.3984449999999997</v>
      </c>
      <c r="M821" s="7" t="str">
        <f>IF(tabla_base[[#This Row],[Rendimiento_por_hectarea_ton]]&gt;tabla_base[[#This Row],[percentil_0,75]],"Sí","No")</f>
        <v>No</v>
      </c>
      <c r="N821" s="3">
        <v>0.73</v>
      </c>
      <c r="O821" t="s">
        <v>20</v>
      </c>
    </row>
    <row r="822" spans="1:15" x14ac:dyDescent="0.35">
      <c r="A822" t="s">
        <v>856</v>
      </c>
      <c r="B822" t="s">
        <v>16</v>
      </c>
      <c r="C822" t="s">
        <v>17</v>
      </c>
      <c r="D822" t="s">
        <v>18</v>
      </c>
      <c r="E822" s="3">
        <v>21.69</v>
      </c>
      <c r="F822" s="3">
        <v>6.82</v>
      </c>
      <c r="G822" s="3">
        <v>32.36</v>
      </c>
      <c r="H822" s="4">
        <v>121.52</v>
      </c>
      <c r="I822" s="3">
        <v>74.31</v>
      </c>
      <c r="J822" t="s">
        <v>28</v>
      </c>
      <c r="K822" s="4">
        <v>4.8245300000000002</v>
      </c>
      <c r="L822" s="6" cm="1">
        <f t="array" ref="L822">_xlfn.PERCENTILE.INC(_xlfn._xlws.FILTER(tabla_base[Rendimiento_por_hectarea_ton], tabla_base[tipo_cultivo]=tabla_base[[#This Row],[tipo_cultivo]]), 0.75)</f>
        <v>5.2079399999999998</v>
      </c>
      <c r="M822" s="7" t="str">
        <f>IF(tabla_base[[#This Row],[Rendimiento_por_hectarea_ton]]&gt;tabla_base[[#This Row],[percentil_0,75]],"Sí","No")</f>
        <v>No</v>
      </c>
      <c r="N822" s="3">
        <v>0.53</v>
      </c>
      <c r="O822" t="s">
        <v>20</v>
      </c>
    </row>
    <row r="823" spans="1:15" x14ac:dyDescent="0.35">
      <c r="A823" t="s">
        <v>857</v>
      </c>
      <c r="B823" t="s">
        <v>16</v>
      </c>
      <c r="C823" t="s">
        <v>40</v>
      </c>
      <c r="D823" t="s">
        <v>33</v>
      </c>
      <c r="E823" s="3">
        <v>20.29</v>
      </c>
      <c r="F823" s="3">
        <v>6.68</v>
      </c>
      <c r="G823" s="3">
        <v>31.35</v>
      </c>
      <c r="H823" s="4">
        <v>177.71</v>
      </c>
      <c r="I823" s="3">
        <v>59.77</v>
      </c>
      <c r="J823" t="s">
        <v>37</v>
      </c>
      <c r="K823" s="4">
        <v>5.74742</v>
      </c>
      <c r="L823" s="6" cm="1">
        <f t="array" ref="L823">_xlfn.PERCENTILE.INC(_xlfn._xlws.FILTER(tabla_base[Rendimiento_por_hectarea_ton], tabla_base[tipo_cultivo]=tabla_base[[#This Row],[tipo_cultivo]]), 0.75)</f>
        <v>5.1635450000000001</v>
      </c>
      <c r="M823" s="7" t="str">
        <f>IF(tabla_base[[#This Row],[Rendimiento_por_hectarea_ton]]&gt;tabla_base[[#This Row],[percentil_0,75]],"Sí","No")</f>
        <v>Sí</v>
      </c>
      <c r="N823" s="3">
        <v>0.57999999999999996</v>
      </c>
      <c r="O823" t="s">
        <v>19</v>
      </c>
    </row>
    <row r="824" spans="1:15" x14ac:dyDescent="0.35">
      <c r="A824" t="s">
        <v>858</v>
      </c>
      <c r="B824" t="s">
        <v>544</v>
      </c>
      <c r="C824" t="s">
        <v>23</v>
      </c>
      <c r="D824" t="s">
        <v>31</v>
      </c>
      <c r="E824" s="3">
        <v>19.28</v>
      </c>
      <c r="F824" s="3">
        <v>6.21</v>
      </c>
      <c r="G824" s="3">
        <v>32.82</v>
      </c>
      <c r="H824" s="4">
        <v>240.06</v>
      </c>
      <c r="I824" s="3">
        <v>74.66</v>
      </c>
      <c r="J824" t="s">
        <v>25</v>
      </c>
      <c r="K824" s="4">
        <v>2.8526699999999998</v>
      </c>
      <c r="L824" s="6" cm="1">
        <f t="array" ref="L824">_xlfn.PERCENTILE.INC(_xlfn._xlws.FILTER(tabla_base[Rendimiento_por_hectarea_ton], tabla_base[tipo_cultivo]=tabla_base[[#This Row],[tipo_cultivo]]), 0.75)</f>
        <v>5.1742550000000005</v>
      </c>
      <c r="M824" s="7" t="str">
        <f>IF(tabla_base[[#This Row],[Rendimiento_por_hectarea_ton]]&gt;tabla_base[[#This Row],[percentil_0,75]],"Sí","No")</f>
        <v>No</v>
      </c>
      <c r="N824" s="3">
        <v>0.71</v>
      </c>
      <c r="O824" t="s">
        <v>20</v>
      </c>
    </row>
    <row r="825" spans="1:15" x14ac:dyDescent="0.35">
      <c r="A825" t="s">
        <v>859</v>
      </c>
      <c r="B825" t="s">
        <v>22</v>
      </c>
      <c r="C825" t="s">
        <v>23</v>
      </c>
      <c r="D825" t="s">
        <v>24</v>
      </c>
      <c r="E825" s="3">
        <v>17.399999999999999</v>
      </c>
      <c r="F825" s="3">
        <v>7.47</v>
      </c>
      <c r="G825" s="3">
        <v>16.510000000000002</v>
      </c>
      <c r="H825" s="4">
        <v>280.75</v>
      </c>
      <c r="I825" s="3">
        <v>86.24</v>
      </c>
      <c r="J825" t="s">
        <v>19</v>
      </c>
      <c r="K825" s="4">
        <v>3.68757</v>
      </c>
      <c r="L825" s="6" cm="1">
        <f t="array" ref="L825">_xlfn.PERCENTILE.INC(_xlfn._xlws.FILTER(tabla_base[Rendimiento_por_hectarea_ton], tabla_base[tipo_cultivo]=tabla_base[[#This Row],[tipo_cultivo]]), 0.75)</f>
        <v>5.3984449999999997</v>
      </c>
      <c r="M825" s="7" t="str">
        <f>IF(tabla_base[[#This Row],[Rendimiento_por_hectarea_ton]]&gt;tabla_base[[#This Row],[percentil_0,75]],"Sí","No")</f>
        <v>No</v>
      </c>
      <c r="N825" s="3">
        <v>0.57999999999999996</v>
      </c>
      <c r="O825" t="s">
        <v>26</v>
      </c>
    </row>
    <row r="826" spans="1:15" x14ac:dyDescent="0.35">
      <c r="A826" t="s">
        <v>860</v>
      </c>
      <c r="B826" t="s">
        <v>16</v>
      </c>
      <c r="C826" t="s">
        <v>30</v>
      </c>
      <c r="D826" t="s">
        <v>35</v>
      </c>
      <c r="E826" s="3">
        <v>28.4</v>
      </c>
      <c r="F826" s="3">
        <v>7.11</v>
      </c>
      <c r="G826" s="3">
        <v>19.53</v>
      </c>
      <c r="H826" s="4">
        <v>104.19</v>
      </c>
      <c r="I826" s="3">
        <v>77.17</v>
      </c>
      <c r="J826" t="s">
        <v>37</v>
      </c>
      <c r="K826" s="4">
        <v>4.9092200000000004</v>
      </c>
      <c r="L826" s="6" cm="1">
        <f t="array" ref="L826">_xlfn.PERCENTILE.INC(_xlfn._xlws.FILTER(tabla_base[Rendimiento_por_hectarea_ton], tabla_base[tipo_cultivo]=tabla_base[[#This Row],[tipo_cultivo]]), 0.75)</f>
        <v>5.1318025</v>
      </c>
      <c r="M826" s="7" t="str">
        <f>IF(tabla_base[[#This Row],[Rendimiento_por_hectarea_ton]]&gt;tabla_base[[#This Row],[percentil_0,75]],"Sí","No")</f>
        <v>No</v>
      </c>
      <c r="N826" s="3">
        <v>0.64</v>
      </c>
      <c r="O826" t="s">
        <v>26</v>
      </c>
    </row>
    <row r="827" spans="1:15" x14ac:dyDescent="0.35">
      <c r="A827" t="s">
        <v>861</v>
      </c>
      <c r="B827" t="s">
        <v>16</v>
      </c>
      <c r="C827" t="s">
        <v>17</v>
      </c>
      <c r="D827" t="s">
        <v>33</v>
      </c>
      <c r="E827" s="3">
        <v>16.73</v>
      </c>
      <c r="F827" s="3">
        <v>7.33</v>
      </c>
      <c r="G827" s="3">
        <v>33.409999999999997</v>
      </c>
      <c r="H827" s="4">
        <v>259.91000000000003</v>
      </c>
      <c r="I827" s="3">
        <v>67.39</v>
      </c>
      <c r="J827" t="s">
        <v>28</v>
      </c>
      <c r="K827" s="4">
        <v>3.1563400000000001</v>
      </c>
      <c r="L827" s="6" cm="1">
        <f t="array" ref="L827">_xlfn.PERCENTILE.INC(_xlfn._xlws.FILTER(tabla_base[Rendimiento_por_hectarea_ton], tabla_base[tipo_cultivo]=tabla_base[[#This Row],[tipo_cultivo]]), 0.75)</f>
        <v>5.1635450000000001</v>
      </c>
      <c r="M827" s="7" t="str">
        <f>IF(tabla_base[[#This Row],[Rendimiento_por_hectarea_ton]]&gt;tabla_base[[#This Row],[percentil_0,75]],"Sí","No")</f>
        <v>No</v>
      </c>
      <c r="N827" s="3">
        <v>0.72</v>
      </c>
      <c r="O827" t="s">
        <v>26</v>
      </c>
    </row>
    <row r="828" spans="1:15" x14ac:dyDescent="0.35">
      <c r="A828" t="s">
        <v>862</v>
      </c>
      <c r="B828" t="s">
        <v>16</v>
      </c>
      <c r="C828" t="s">
        <v>40</v>
      </c>
      <c r="D828" t="s">
        <v>31</v>
      </c>
      <c r="E828" s="3">
        <v>17.05</v>
      </c>
      <c r="F828" s="3">
        <v>5.71</v>
      </c>
      <c r="G828" s="3">
        <v>28.79</v>
      </c>
      <c r="H828" s="4">
        <v>158.28</v>
      </c>
      <c r="I828" s="3">
        <v>68.44</v>
      </c>
      <c r="J828" t="s">
        <v>37</v>
      </c>
      <c r="K828" s="4">
        <v>3.6463700000000001</v>
      </c>
      <c r="L828" s="6" cm="1">
        <f t="array" ref="L828">_xlfn.PERCENTILE.INC(_xlfn._xlws.FILTER(tabla_base[Rendimiento_por_hectarea_ton], tabla_base[tipo_cultivo]=tabla_base[[#This Row],[tipo_cultivo]]), 0.75)</f>
        <v>5.1742550000000005</v>
      </c>
      <c r="M828" s="7" t="str">
        <f>IF(tabla_base[[#This Row],[Rendimiento_por_hectarea_ton]]&gt;tabla_base[[#This Row],[percentil_0,75]],"Sí","No")</f>
        <v>No</v>
      </c>
      <c r="N828" s="3">
        <v>0.51</v>
      </c>
      <c r="O828" t="s">
        <v>20</v>
      </c>
    </row>
    <row r="829" spans="1:15" x14ac:dyDescent="0.35">
      <c r="A829" t="s">
        <v>863</v>
      </c>
      <c r="B829" t="s">
        <v>16</v>
      </c>
      <c r="C829" t="s">
        <v>17</v>
      </c>
      <c r="D829" t="s">
        <v>35</v>
      </c>
      <c r="E829" s="3">
        <v>16.95</v>
      </c>
      <c r="F829" s="3">
        <v>6.31</v>
      </c>
      <c r="G829" s="3">
        <v>22.31</v>
      </c>
      <c r="H829" s="4">
        <v>235.17</v>
      </c>
      <c r="I829" s="3">
        <v>77.17</v>
      </c>
      <c r="J829" t="s">
        <v>37</v>
      </c>
      <c r="K829" s="4">
        <v>5.4145599999999998</v>
      </c>
      <c r="L829" s="6" cm="1">
        <f t="array" ref="L829">_xlfn.PERCENTILE.INC(_xlfn._xlws.FILTER(tabla_base[Rendimiento_por_hectarea_ton], tabla_base[tipo_cultivo]=tabla_base[[#This Row],[tipo_cultivo]]), 0.75)</f>
        <v>5.1318025</v>
      </c>
      <c r="M829" s="7" t="str">
        <f>IF(tabla_base[[#This Row],[Rendimiento_por_hectarea_ton]]&gt;tabla_base[[#This Row],[percentil_0,75]],"Sí","No")</f>
        <v>Sí</v>
      </c>
      <c r="N829" s="3">
        <v>0.51</v>
      </c>
      <c r="O829" t="s">
        <v>20</v>
      </c>
    </row>
    <row r="830" spans="1:15" x14ac:dyDescent="0.35">
      <c r="A830" t="s">
        <v>864</v>
      </c>
      <c r="B830" t="s">
        <v>22</v>
      </c>
      <c r="C830" t="s">
        <v>17</v>
      </c>
      <c r="D830" t="s">
        <v>18</v>
      </c>
      <c r="E830" s="3">
        <v>34.4</v>
      </c>
      <c r="F830" s="3">
        <v>6.64</v>
      </c>
      <c r="G830" s="3">
        <v>18.309999999999999</v>
      </c>
      <c r="H830" s="4">
        <v>272.23</v>
      </c>
      <c r="I830" s="3">
        <v>50.97</v>
      </c>
      <c r="J830" t="s">
        <v>28</v>
      </c>
      <c r="K830" s="4">
        <v>2.8987599999999998</v>
      </c>
      <c r="L830" s="6" cm="1">
        <f t="array" ref="L830">_xlfn.PERCENTILE.INC(_xlfn._xlws.FILTER(tabla_base[Rendimiento_por_hectarea_ton], tabla_base[tipo_cultivo]=tabla_base[[#This Row],[tipo_cultivo]]), 0.75)</f>
        <v>5.2079399999999998</v>
      </c>
      <c r="M830" s="7" t="str">
        <f>IF(tabla_base[[#This Row],[Rendimiento_por_hectarea_ton]]&gt;tabla_base[[#This Row],[percentil_0,75]],"Sí","No")</f>
        <v>No</v>
      </c>
      <c r="N830" s="3">
        <v>0.89</v>
      </c>
      <c r="O830" t="s">
        <v>19</v>
      </c>
    </row>
    <row r="831" spans="1:15" x14ac:dyDescent="0.35">
      <c r="A831" t="s">
        <v>865</v>
      </c>
      <c r="B831" t="s">
        <v>544</v>
      </c>
      <c r="C831" t="s">
        <v>30</v>
      </c>
      <c r="D831" t="s">
        <v>31</v>
      </c>
      <c r="E831" s="3">
        <v>23.92</v>
      </c>
      <c r="F831" s="3">
        <v>5.88</v>
      </c>
      <c r="G831" s="3">
        <v>29.92</v>
      </c>
      <c r="H831" s="4">
        <v>248.66</v>
      </c>
      <c r="I831" s="3">
        <v>51.32</v>
      </c>
      <c r="J831" t="s">
        <v>28</v>
      </c>
      <c r="K831" s="4">
        <v>5.3919300000000003</v>
      </c>
      <c r="L831" s="6" cm="1">
        <f t="array" ref="L831">_xlfn.PERCENTILE.INC(_xlfn._xlws.FILTER(tabla_base[Rendimiento_por_hectarea_ton], tabla_base[tipo_cultivo]=tabla_base[[#This Row],[tipo_cultivo]]), 0.75)</f>
        <v>5.1742550000000005</v>
      </c>
      <c r="M831" s="7" t="str">
        <f>IF(tabla_base[[#This Row],[Rendimiento_por_hectarea_ton]]&gt;tabla_base[[#This Row],[percentil_0,75]],"Sí","No")</f>
        <v>Sí</v>
      </c>
      <c r="N831" s="3">
        <v>0.88</v>
      </c>
      <c r="O831" t="s">
        <v>20</v>
      </c>
    </row>
    <row r="832" spans="1:15" x14ac:dyDescent="0.35">
      <c r="A832" t="s">
        <v>866</v>
      </c>
      <c r="B832" t="s">
        <v>544</v>
      </c>
      <c r="C832" t="s">
        <v>30</v>
      </c>
      <c r="D832" t="s">
        <v>24</v>
      </c>
      <c r="E832" s="3">
        <v>18.170000000000002</v>
      </c>
      <c r="F832" s="3">
        <v>6.28</v>
      </c>
      <c r="G832" s="3">
        <v>16.86</v>
      </c>
      <c r="H832" s="4">
        <v>227.54</v>
      </c>
      <c r="I832" s="3">
        <v>66.23</v>
      </c>
      <c r="J832" t="s">
        <v>37</v>
      </c>
      <c r="K832" s="4">
        <v>4.4685600000000001</v>
      </c>
      <c r="L832" s="6" cm="1">
        <f t="array" ref="L832">_xlfn.PERCENTILE.INC(_xlfn._xlws.FILTER(tabla_base[Rendimiento_por_hectarea_ton], tabla_base[tipo_cultivo]=tabla_base[[#This Row],[tipo_cultivo]]), 0.75)</f>
        <v>5.3984449999999997</v>
      </c>
      <c r="M832" s="7" t="str">
        <f>IF(tabla_base[[#This Row],[Rendimiento_por_hectarea_ton]]&gt;tabla_base[[#This Row],[percentil_0,75]],"Sí","No")</f>
        <v>No</v>
      </c>
      <c r="N832" s="3">
        <v>0.78</v>
      </c>
      <c r="O832" t="s">
        <v>26</v>
      </c>
    </row>
    <row r="833" spans="1:15" x14ac:dyDescent="0.35">
      <c r="A833" t="s">
        <v>867</v>
      </c>
      <c r="B833" t="s">
        <v>22</v>
      </c>
      <c r="C833" t="s">
        <v>23</v>
      </c>
      <c r="D833" t="s">
        <v>18</v>
      </c>
      <c r="E833" s="3">
        <v>20.71</v>
      </c>
      <c r="F833" s="3">
        <v>5.67</v>
      </c>
      <c r="G833" s="3">
        <v>25.93</v>
      </c>
      <c r="H833" s="4">
        <v>263.37</v>
      </c>
      <c r="I833" s="3">
        <v>53.06</v>
      </c>
      <c r="J833" t="s">
        <v>19</v>
      </c>
      <c r="K833" s="4">
        <v>3.0832799999999998</v>
      </c>
      <c r="L833" s="6" cm="1">
        <f t="array" ref="L833">_xlfn.PERCENTILE.INC(_xlfn._xlws.FILTER(tabla_base[Rendimiento_por_hectarea_ton], tabla_base[tipo_cultivo]=tabla_base[[#This Row],[tipo_cultivo]]), 0.75)</f>
        <v>5.2079399999999998</v>
      </c>
      <c r="M833" s="7" t="str">
        <f>IF(tabla_base[[#This Row],[Rendimiento_por_hectarea_ton]]&gt;tabla_base[[#This Row],[percentil_0,75]],"Sí","No")</f>
        <v>No</v>
      </c>
      <c r="N833" s="3">
        <v>0.82</v>
      </c>
      <c r="O833" t="s">
        <v>20</v>
      </c>
    </row>
    <row r="834" spans="1:15" x14ac:dyDescent="0.35">
      <c r="A834" t="s">
        <v>868</v>
      </c>
      <c r="B834" t="s">
        <v>22</v>
      </c>
      <c r="C834" t="s">
        <v>17</v>
      </c>
      <c r="D834" t="s">
        <v>547</v>
      </c>
      <c r="E834" s="3">
        <v>35.08</v>
      </c>
      <c r="F834" s="3">
        <v>7.07</v>
      </c>
      <c r="G834" s="3">
        <v>34.86</v>
      </c>
      <c r="H834" s="4">
        <v>154.83000000000001</v>
      </c>
      <c r="I834" s="3">
        <v>77.209999999999994</v>
      </c>
      <c r="J834" t="s">
        <v>37</v>
      </c>
      <c r="K834" s="4">
        <v>4.2334100000000001</v>
      </c>
      <c r="L834" s="6" cm="1">
        <f t="array" ref="L834">_xlfn.PERCENTILE.INC(_xlfn._xlws.FILTER(tabla_base[Rendimiento_por_hectarea_ton], tabla_base[tipo_cultivo]=tabla_base[[#This Row],[tipo_cultivo]]), 0.75)</f>
        <v>5.2323700000000004</v>
      </c>
      <c r="M834" s="7" t="str">
        <f>IF(tabla_base[[#This Row],[Rendimiento_por_hectarea_ton]]&gt;tabla_base[[#This Row],[percentil_0,75]],"Sí","No")</f>
        <v>No</v>
      </c>
      <c r="N834" s="3">
        <v>0.74</v>
      </c>
      <c r="O834" t="s">
        <v>19</v>
      </c>
    </row>
    <row r="835" spans="1:15" x14ac:dyDescent="0.35">
      <c r="A835" t="s">
        <v>869</v>
      </c>
      <c r="B835" t="s">
        <v>22</v>
      </c>
      <c r="C835" t="s">
        <v>30</v>
      </c>
      <c r="D835" t="s">
        <v>18</v>
      </c>
      <c r="E835" s="3">
        <v>27.08</v>
      </c>
      <c r="F835" s="3">
        <v>5.63</v>
      </c>
      <c r="G835" s="3">
        <v>30.38</v>
      </c>
      <c r="H835" s="4">
        <v>112.95</v>
      </c>
      <c r="I835" s="3">
        <v>79.989999999999995</v>
      </c>
      <c r="J835" t="s">
        <v>19</v>
      </c>
      <c r="K835" s="4">
        <v>4.6198199999999998</v>
      </c>
      <c r="L835" s="6" cm="1">
        <f t="array" ref="L835">_xlfn.PERCENTILE.INC(_xlfn._xlws.FILTER(tabla_base[Rendimiento_por_hectarea_ton], tabla_base[tipo_cultivo]=tabla_base[[#This Row],[tipo_cultivo]]), 0.75)</f>
        <v>5.2079399999999998</v>
      </c>
      <c r="M835" s="7" t="str">
        <f>IF(tabla_base[[#This Row],[Rendimiento_por_hectarea_ton]]&gt;tabla_base[[#This Row],[percentil_0,75]],"Sí","No")</f>
        <v>No</v>
      </c>
      <c r="N835" s="3">
        <v>0.77</v>
      </c>
      <c r="O835" t="s">
        <v>19</v>
      </c>
    </row>
    <row r="836" spans="1:15" x14ac:dyDescent="0.35">
      <c r="A836" t="s">
        <v>870</v>
      </c>
      <c r="B836" t="s">
        <v>544</v>
      </c>
      <c r="C836" t="s">
        <v>17</v>
      </c>
      <c r="D836" t="s">
        <v>24</v>
      </c>
      <c r="E836" s="3">
        <v>16.579999999999998</v>
      </c>
      <c r="F836" s="3">
        <v>6.15</v>
      </c>
      <c r="G836" s="3">
        <v>29.31</v>
      </c>
      <c r="H836" s="4">
        <v>53.31</v>
      </c>
      <c r="I836" s="3">
        <v>80.64</v>
      </c>
      <c r="J836" t="s">
        <v>25</v>
      </c>
      <c r="K836" s="4">
        <v>4.1381500000000004</v>
      </c>
      <c r="L836" s="6" cm="1">
        <f t="array" ref="L836">_xlfn.PERCENTILE.INC(_xlfn._xlws.FILTER(tabla_base[Rendimiento_por_hectarea_ton], tabla_base[tipo_cultivo]=tabla_base[[#This Row],[tipo_cultivo]]), 0.75)</f>
        <v>5.3984449999999997</v>
      </c>
      <c r="M836" s="7" t="str">
        <f>IF(tabla_base[[#This Row],[Rendimiento_por_hectarea_ton]]&gt;tabla_base[[#This Row],[percentil_0,75]],"Sí","No")</f>
        <v>No</v>
      </c>
      <c r="N836" s="3">
        <v>0.54</v>
      </c>
      <c r="O836" t="s">
        <v>19</v>
      </c>
    </row>
    <row r="837" spans="1:15" x14ac:dyDescent="0.35">
      <c r="A837" t="s">
        <v>871</v>
      </c>
      <c r="B837" t="s">
        <v>16</v>
      </c>
      <c r="C837" t="s">
        <v>40</v>
      </c>
      <c r="D837" t="s">
        <v>24</v>
      </c>
      <c r="E837" s="3">
        <v>36.29</v>
      </c>
      <c r="F837" s="3">
        <v>6.96</v>
      </c>
      <c r="G837" s="3">
        <v>29.18</v>
      </c>
      <c r="H837" s="4">
        <v>134.27000000000001</v>
      </c>
      <c r="I837" s="3">
        <v>55.12</v>
      </c>
      <c r="J837" t="s">
        <v>37</v>
      </c>
      <c r="K837" s="4">
        <v>5.4414999999999996</v>
      </c>
      <c r="L837" s="6" cm="1">
        <f t="array" ref="L837">_xlfn.PERCENTILE.INC(_xlfn._xlws.FILTER(tabla_base[Rendimiento_por_hectarea_ton], tabla_base[tipo_cultivo]=tabla_base[[#This Row],[tipo_cultivo]]), 0.75)</f>
        <v>5.3984449999999997</v>
      </c>
      <c r="M837" s="7" t="str">
        <f>IF(tabla_base[[#This Row],[Rendimiento_por_hectarea_ton]]&gt;tabla_base[[#This Row],[percentil_0,75]],"Sí","No")</f>
        <v>Sí</v>
      </c>
      <c r="N837" s="3">
        <v>0.83</v>
      </c>
      <c r="O837" t="s">
        <v>20</v>
      </c>
    </row>
    <row r="838" spans="1:15" x14ac:dyDescent="0.35">
      <c r="A838" t="s">
        <v>872</v>
      </c>
      <c r="B838" t="s">
        <v>544</v>
      </c>
      <c r="C838" t="s">
        <v>30</v>
      </c>
      <c r="D838" t="s">
        <v>18</v>
      </c>
      <c r="E838" s="3">
        <v>22.11</v>
      </c>
      <c r="F838" s="3">
        <v>6.59</v>
      </c>
      <c r="G838" s="3">
        <v>25.71</v>
      </c>
      <c r="H838" s="4">
        <v>133.63999999999999</v>
      </c>
      <c r="I838" s="3">
        <v>76.12</v>
      </c>
      <c r="J838" t="s">
        <v>37</v>
      </c>
      <c r="K838" s="4">
        <v>6.3082700000000003</v>
      </c>
      <c r="L838" s="6" cm="1">
        <f t="array" ref="L838">_xlfn.PERCENTILE.INC(_xlfn._xlws.FILTER(tabla_base[Rendimiento_por_hectarea_ton], tabla_base[tipo_cultivo]=tabla_base[[#This Row],[tipo_cultivo]]), 0.75)</f>
        <v>5.2079399999999998</v>
      </c>
      <c r="M838" s="7" t="str">
        <f>IF(tabla_base[[#This Row],[Rendimiento_por_hectarea_ton]]&gt;tabla_base[[#This Row],[percentil_0,75]],"Sí","No")</f>
        <v>Sí</v>
      </c>
      <c r="N838" s="3">
        <v>0.65</v>
      </c>
      <c r="O838" t="s">
        <v>26</v>
      </c>
    </row>
    <row r="839" spans="1:15" x14ac:dyDescent="0.35">
      <c r="A839" t="s">
        <v>873</v>
      </c>
      <c r="B839" t="s">
        <v>22</v>
      </c>
      <c r="C839" t="s">
        <v>23</v>
      </c>
      <c r="D839" t="s">
        <v>18</v>
      </c>
      <c r="E839" s="3">
        <v>28.73</v>
      </c>
      <c r="F839" s="3">
        <v>6.39</v>
      </c>
      <c r="G839" s="3">
        <v>18.62</v>
      </c>
      <c r="H839" s="4">
        <v>233.22</v>
      </c>
      <c r="I839" s="3">
        <v>84.13</v>
      </c>
      <c r="J839" t="s">
        <v>25</v>
      </c>
      <c r="K839" s="4">
        <v>2.91012</v>
      </c>
      <c r="L839" s="6" cm="1">
        <f t="array" ref="L839">_xlfn.PERCENTILE.INC(_xlfn._xlws.FILTER(tabla_base[Rendimiento_por_hectarea_ton], tabla_base[tipo_cultivo]=tabla_base[[#This Row],[tipo_cultivo]]), 0.75)</f>
        <v>5.2079399999999998</v>
      </c>
      <c r="M839" s="7" t="str">
        <f>IF(tabla_base[[#This Row],[Rendimiento_por_hectarea_ton]]&gt;tabla_base[[#This Row],[percentil_0,75]],"Sí","No")</f>
        <v>No</v>
      </c>
      <c r="N839" s="3">
        <v>0.85</v>
      </c>
      <c r="O839" t="s">
        <v>19</v>
      </c>
    </row>
    <row r="840" spans="1:15" x14ac:dyDescent="0.35">
      <c r="A840" t="s">
        <v>874</v>
      </c>
      <c r="B840" t="s">
        <v>544</v>
      </c>
      <c r="C840" t="s">
        <v>30</v>
      </c>
      <c r="D840" t="s">
        <v>33</v>
      </c>
      <c r="E840" s="3">
        <v>25.87</v>
      </c>
      <c r="F840" s="3">
        <v>6.78</v>
      </c>
      <c r="G840" s="3">
        <v>31.2</v>
      </c>
      <c r="H840" s="4">
        <v>179.75</v>
      </c>
      <c r="I840" s="3">
        <v>81.08</v>
      </c>
      <c r="J840" t="s">
        <v>19</v>
      </c>
      <c r="K840" s="4">
        <v>6.29392</v>
      </c>
      <c r="L840" s="6" cm="1">
        <f t="array" ref="L840">_xlfn.PERCENTILE.INC(_xlfn._xlws.FILTER(tabla_base[Rendimiento_por_hectarea_ton], tabla_base[tipo_cultivo]=tabla_base[[#This Row],[tipo_cultivo]]), 0.75)</f>
        <v>5.1635450000000001</v>
      </c>
      <c r="M840" s="7" t="str">
        <f>IF(tabla_base[[#This Row],[Rendimiento_por_hectarea_ton]]&gt;tabla_base[[#This Row],[percentil_0,75]],"Sí","No")</f>
        <v>Sí</v>
      </c>
      <c r="N840" s="3">
        <v>0.56000000000000005</v>
      </c>
      <c r="O840" t="s">
        <v>20</v>
      </c>
    </row>
    <row r="841" spans="1:15" x14ac:dyDescent="0.35">
      <c r="A841" t="s">
        <v>875</v>
      </c>
      <c r="B841" t="s">
        <v>22</v>
      </c>
      <c r="C841" t="s">
        <v>23</v>
      </c>
      <c r="D841" t="s">
        <v>547</v>
      </c>
      <c r="E841" s="3">
        <v>37.61</v>
      </c>
      <c r="F841" s="3">
        <v>7.45</v>
      </c>
      <c r="G841" s="3">
        <v>32.770000000000003</v>
      </c>
      <c r="H841" s="4">
        <v>260.94</v>
      </c>
      <c r="I841" s="3">
        <v>88.65</v>
      </c>
      <c r="J841" t="s">
        <v>28</v>
      </c>
      <c r="K841" s="4">
        <v>3.5127700000000002</v>
      </c>
      <c r="L841" s="6" cm="1">
        <f t="array" ref="L841">_xlfn.PERCENTILE.INC(_xlfn._xlws.FILTER(tabla_base[Rendimiento_por_hectarea_ton], tabla_base[tipo_cultivo]=tabla_base[[#This Row],[tipo_cultivo]]), 0.75)</f>
        <v>5.2323700000000004</v>
      </c>
      <c r="M841" s="7" t="str">
        <f>IF(tabla_base[[#This Row],[Rendimiento_por_hectarea_ton]]&gt;tabla_base[[#This Row],[percentil_0,75]],"Sí","No")</f>
        <v>No</v>
      </c>
      <c r="N841" s="3">
        <v>0.78</v>
      </c>
      <c r="O841" t="s">
        <v>19</v>
      </c>
    </row>
    <row r="842" spans="1:15" x14ac:dyDescent="0.35">
      <c r="A842" t="s">
        <v>876</v>
      </c>
      <c r="B842" t="s">
        <v>22</v>
      </c>
      <c r="C842" t="s">
        <v>17</v>
      </c>
      <c r="D842" t="s">
        <v>35</v>
      </c>
      <c r="E842" s="3">
        <v>35.65</v>
      </c>
      <c r="F842" s="3">
        <v>5.56</v>
      </c>
      <c r="G842" s="3">
        <v>15.86</v>
      </c>
      <c r="H842" s="4">
        <v>140.81</v>
      </c>
      <c r="I842" s="3">
        <v>69.650000000000006</v>
      </c>
      <c r="J842" t="s">
        <v>28</v>
      </c>
      <c r="K842" s="4">
        <v>4.11639</v>
      </c>
      <c r="L842" s="6" cm="1">
        <f t="array" ref="L842">_xlfn.PERCENTILE.INC(_xlfn._xlws.FILTER(tabla_base[Rendimiento_por_hectarea_ton], tabla_base[tipo_cultivo]=tabla_base[[#This Row],[tipo_cultivo]]), 0.75)</f>
        <v>5.1318025</v>
      </c>
      <c r="M842" s="7" t="str">
        <f>IF(tabla_base[[#This Row],[Rendimiento_por_hectarea_ton]]&gt;tabla_base[[#This Row],[percentil_0,75]],"Sí","No")</f>
        <v>No</v>
      </c>
      <c r="N842" s="3">
        <v>0.66</v>
      </c>
      <c r="O842" t="s">
        <v>19</v>
      </c>
    </row>
    <row r="843" spans="1:15" x14ac:dyDescent="0.35">
      <c r="A843" t="s">
        <v>877</v>
      </c>
      <c r="B843" t="s">
        <v>16</v>
      </c>
      <c r="C843" t="s">
        <v>40</v>
      </c>
      <c r="D843" t="s">
        <v>35</v>
      </c>
      <c r="E843" s="3">
        <v>18.350000000000001</v>
      </c>
      <c r="F843" s="3">
        <v>6.25</v>
      </c>
      <c r="G843" s="3">
        <v>15.93</v>
      </c>
      <c r="H843" s="4">
        <v>92.97</v>
      </c>
      <c r="I843" s="3">
        <v>55.09</v>
      </c>
      <c r="J843" t="s">
        <v>28</v>
      </c>
      <c r="K843" s="4">
        <v>5.0137</v>
      </c>
      <c r="L843" s="6" cm="1">
        <f t="array" ref="L843">_xlfn.PERCENTILE.INC(_xlfn._xlws.FILTER(tabla_base[Rendimiento_por_hectarea_ton], tabla_base[tipo_cultivo]=tabla_base[[#This Row],[tipo_cultivo]]), 0.75)</f>
        <v>5.1318025</v>
      </c>
      <c r="M843" s="7" t="str">
        <f>IF(tabla_base[[#This Row],[Rendimiento_por_hectarea_ton]]&gt;tabla_base[[#This Row],[percentil_0,75]],"Sí","No")</f>
        <v>No</v>
      </c>
      <c r="N843" s="3">
        <v>0.61</v>
      </c>
      <c r="O843" t="s">
        <v>19</v>
      </c>
    </row>
    <row r="844" spans="1:15" x14ac:dyDescent="0.35">
      <c r="A844" t="s">
        <v>878</v>
      </c>
      <c r="B844" t="s">
        <v>22</v>
      </c>
      <c r="C844" t="s">
        <v>23</v>
      </c>
      <c r="D844" t="s">
        <v>547</v>
      </c>
      <c r="E844" s="3">
        <v>22.26</v>
      </c>
      <c r="F844" s="3">
        <v>6.15</v>
      </c>
      <c r="G844" s="3">
        <v>22.46</v>
      </c>
      <c r="H844" s="4">
        <v>79.64</v>
      </c>
      <c r="I844" s="3">
        <v>88.93</v>
      </c>
      <c r="J844" t="s">
        <v>25</v>
      </c>
      <c r="K844" s="4">
        <v>3.8894799999999998</v>
      </c>
      <c r="L844" s="6" cm="1">
        <f t="array" ref="L844">_xlfn.PERCENTILE.INC(_xlfn._xlws.FILTER(tabla_base[Rendimiento_por_hectarea_ton], tabla_base[tipo_cultivo]=tabla_base[[#This Row],[tipo_cultivo]]), 0.75)</f>
        <v>5.2323700000000004</v>
      </c>
      <c r="M844" s="7" t="str">
        <f>IF(tabla_base[[#This Row],[Rendimiento_por_hectarea_ton]]&gt;tabla_base[[#This Row],[percentil_0,75]],"Sí","No")</f>
        <v>No</v>
      </c>
      <c r="N844" s="3">
        <v>0.64</v>
      </c>
      <c r="O844" t="s">
        <v>26</v>
      </c>
    </row>
    <row r="845" spans="1:15" x14ac:dyDescent="0.35">
      <c r="A845" t="s">
        <v>879</v>
      </c>
      <c r="B845" t="s">
        <v>16</v>
      </c>
      <c r="C845" t="s">
        <v>17</v>
      </c>
      <c r="D845" t="s">
        <v>547</v>
      </c>
      <c r="E845" s="3">
        <v>22.9</v>
      </c>
      <c r="F845" s="3">
        <v>5.51</v>
      </c>
      <c r="G845" s="3">
        <v>34.06</v>
      </c>
      <c r="H845" s="4">
        <v>60.95</v>
      </c>
      <c r="I845" s="3">
        <v>78.22</v>
      </c>
      <c r="J845" t="s">
        <v>19</v>
      </c>
      <c r="K845" s="4">
        <v>3.4811800000000002</v>
      </c>
      <c r="L845" s="6" cm="1">
        <f t="array" ref="L845">_xlfn.PERCENTILE.INC(_xlfn._xlws.FILTER(tabla_base[Rendimiento_por_hectarea_ton], tabla_base[tipo_cultivo]=tabla_base[[#This Row],[tipo_cultivo]]), 0.75)</f>
        <v>5.2323700000000004</v>
      </c>
      <c r="M845" s="7" t="str">
        <f>IF(tabla_base[[#This Row],[Rendimiento_por_hectarea_ton]]&gt;tabla_base[[#This Row],[percentil_0,75]],"Sí","No")</f>
        <v>No</v>
      </c>
      <c r="N845" s="3">
        <v>0.61</v>
      </c>
      <c r="O845" t="s">
        <v>26</v>
      </c>
    </row>
    <row r="846" spans="1:15" x14ac:dyDescent="0.35">
      <c r="A846" t="s">
        <v>880</v>
      </c>
      <c r="B846" t="s">
        <v>22</v>
      </c>
      <c r="C846" t="s">
        <v>40</v>
      </c>
      <c r="D846" t="s">
        <v>31</v>
      </c>
      <c r="E846" s="3">
        <v>36.44</v>
      </c>
      <c r="F846" s="3">
        <v>6.42</v>
      </c>
      <c r="G846" s="3">
        <v>26.8</v>
      </c>
      <c r="H846" s="4">
        <v>72.84</v>
      </c>
      <c r="I846" s="3">
        <v>67.739999999999995</v>
      </c>
      <c r="J846" t="s">
        <v>19</v>
      </c>
      <c r="K846" s="4">
        <v>3.6857700000000002</v>
      </c>
      <c r="L846" s="6" cm="1">
        <f t="array" ref="L846">_xlfn.PERCENTILE.INC(_xlfn._xlws.FILTER(tabla_base[Rendimiento_por_hectarea_ton], tabla_base[tipo_cultivo]=tabla_base[[#This Row],[tipo_cultivo]]), 0.75)</f>
        <v>5.1742550000000005</v>
      </c>
      <c r="M846" s="7" t="str">
        <f>IF(tabla_base[[#This Row],[Rendimiento_por_hectarea_ton]]&gt;tabla_base[[#This Row],[percentil_0,75]],"Sí","No")</f>
        <v>No</v>
      </c>
      <c r="N846" s="3">
        <v>0.75</v>
      </c>
      <c r="O846" t="s">
        <v>26</v>
      </c>
    </row>
    <row r="847" spans="1:15" x14ac:dyDescent="0.35">
      <c r="A847" t="s">
        <v>881</v>
      </c>
      <c r="B847" t="s">
        <v>22</v>
      </c>
      <c r="C847" t="s">
        <v>23</v>
      </c>
      <c r="D847" t="s">
        <v>33</v>
      </c>
      <c r="E847" s="3">
        <v>34.17</v>
      </c>
      <c r="F847" s="3">
        <v>6.11</v>
      </c>
      <c r="G847" s="3">
        <v>30.62</v>
      </c>
      <c r="H847" s="4">
        <v>51.4</v>
      </c>
      <c r="I847" s="3">
        <v>86.08</v>
      </c>
      <c r="J847" t="s">
        <v>25</v>
      </c>
      <c r="K847" s="4">
        <v>4.1592500000000001</v>
      </c>
      <c r="L847" s="6" cm="1">
        <f t="array" ref="L847">_xlfn.PERCENTILE.INC(_xlfn._xlws.FILTER(tabla_base[Rendimiento_por_hectarea_ton], tabla_base[tipo_cultivo]=tabla_base[[#This Row],[tipo_cultivo]]), 0.75)</f>
        <v>5.1635450000000001</v>
      </c>
      <c r="M847" s="7" t="str">
        <f>IF(tabla_base[[#This Row],[Rendimiento_por_hectarea_ton]]&gt;tabla_base[[#This Row],[percentil_0,75]],"Sí","No")</f>
        <v>No</v>
      </c>
      <c r="N847" s="3">
        <v>0.6</v>
      </c>
      <c r="O847" t="s">
        <v>20</v>
      </c>
    </row>
    <row r="848" spans="1:15" x14ac:dyDescent="0.35">
      <c r="A848" t="s">
        <v>882</v>
      </c>
      <c r="B848" t="s">
        <v>22</v>
      </c>
      <c r="C848" t="s">
        <v>23</v>
      </c>
      <c r="D848" t="s">
        <v>24</v>
      </c>
      <c r="E848" s="3">
        <v>27.07</v>
      </c>
      <c r="F848" s="3">
        <v>5.84</v>
      </c>
      <c r="G848" s="3">
        <v>28.55</v>
      </c>
      <c r="H848" s="4">
        <v>268.08999999999997</v>
      </c>
      <c r="I848" s="3">
        <v>58.57</v>
      </c>
      <c r="J848" t="s">
        <v>28</v>
      </c>
      <c r="K848" s="4">
        <v>5.32287</v>
      </c>
      <c r="L848" s="6" cm="1">
        <f t="array" ref="L848">_xlfn.PERCENTILE.INC(_xlfn._xlws.FILTER(tabla_base[Rendimiento_por_hectarea_ton], tabla_base[tipo_cultivo]=tabla_base[[#This Row],[tipo_cultivo]]), 0.75)</f>
        <v>5.3984449999999997</v>
      </c>
      <c r="M848" s="7" t="str">
        <f>IF(tabla_base[[#This Row],[Rendimiento_por_hectarea_ton]]&gt;tabla_base[[#This Row],[percentil_0,75]],"Sí","No")</f>
        <v>No</v>
      </c>
      <c r="N848" s="3">
        <v>0.8</v>
      </c>
      <c r="O848" t="s">
        <v>26</v>
      </c>
    </row>
    <row r="849" spans="1:15" x14ac:dyDescent="0.35">
      <c r="A849" t="s">
        <v>883</v>
      </c>
      <c r="B849" t="s">
        <v>22</v>
      </c>
      <c r="C849" t="s">
        <v>17</v>
      </c>
      <c r="D849" t="s">
        <v>24</v>
      </c>
      <c r="E849" s="3">
        <v>30.51</v>
      </c>
      <c r="F849" s="3">
        <v>6.07</v>
      </c>
      <c r="G849" s="3">
        <v>33.93</v>
      </c>
      <c r="H849" s="4">
        <v>299.17</v>
      </c>
      <c r="I849" s="3">
        <v>55.75</v>
      </c>
      <c r="J849" t="s">
        <v>37</v>
      </c>
      <c r="K849" s="4">
        <v>4.6708100000000004</v>
      </c>
      <c r="L849" s="6" cm="1">
        <f t="array" ref="L849">_xlfn.PERCENTILE.INC(_xlfn._xlws.FILTER(tabla_base[Rendimiento_por_hectarea_ton], tabla_base[tipo_cultivo]=tabla_base[[#This Row],[tipo_cultivo]]), 0.75)</f>
        <v>5.3984449999999997</v>
      </c>
      <c r="M849" s="7" t="str">
        <f>IF(tabla_base[[#This Row],[Rendimiento_por_hectarea_ton]]&gt;tabla_base[[#This Row],[percentil_0,75]],"Sí","No")</f>
        <v>No</v>
      </c>
      <c r="N849" s="3">
        <v>0.72</v>
      </c>
      <c r="O849" t="s">
        <v>20</v>
      </c>
    </row>
    <row r="850" spans="1:15" x14ac:dyDescent="0.35">
      <c r="A850" t="s">
        <v>884</v>
      </c>
      <c r="B850" t="s">
        <v>16</v>
      </c>
      <c r="C850" t="s">
        <v>40</v>
      </c>
      <c r="D850" t="s">
        <v>31</v>
      </c>
      <c r="E850" s="3">
        <v>16.690000000000001</v>
      </c>
      <c r="F850" s="3">
        <v>7.36</v>
      </c>
      <c r="G850" s="3">
        <v>28.3</v>
      </c>
      <c r="H850" s="4">
        <v>204.05</v>
      </c>
      <c r="I850" s="3">
        <v>74.36</v>
      </c>
      <c r="J850" t="s">
        <v>19</v>
      </c>
      <c r="K850" s="4">
        <v>5.6326000000000001</v>
      </c>
      <c r="L850" s="6" cm="1">
        <f t="array" ref="L850">_xlfn.PERCENTILE.INC(_xlfn._xlws.FILTER(tabla_base[Rendimiento_por_hectarea_ton], tabla_base[tipo_cultivo]=tabla_base[[#This Row],[tipo_cultivo]]), 0.75)</f>
        <v>5.1742550000000005</v>
      </c>
      <c r="M850" s="7" t="str">
        <f>IF(tabla_base[[#This Row],[Rendimiento_por_hectarea_ton]]&gt;tabla_base[[#This Row],[percentil_0,75]],"Sí","No")</f>
        <v>Sí</v>
      </c>
      <c r="N850" s="3">
        <v>0.69</v>
      </c>
      <c r="O850" t="s">
        <v>26</v>
      </c>
    </row>
    <row r="851" spans="1:15" x14ac:dyDescent="0.35">
      <c r="A851" t="s">
        <v>885</v>
      </c>
      <c r="B851" t="s">
        <v>16</v>
      </c>
      <c r="C851" t="s">
        <v>40</v>
      </c>
      <c r="D851" t="s">
        <v>33</v>
      </c>
      <c r="E851" s="3">
        <v>38.03</v>
      </c>
      <c r="F851" s="3">
        <v>5.86</v>
      </c>
      <c r="G851" s="3">
        <v>34.39</v>
      </c>
      <c r="H851" s="4">
        <v>279.69</v>
      </c>
      <c r="I851" s="3">
        <v>50.86</v>
      </c>
      <c r="J851" t="s">
        <v>25</v>
      </c>
      <c r="K851" s="4">
        <v>5.1329900000000004</v>
      </c>
      <c r="L851" s="6" cm="1">
        <f t="array" ref="L851">_xlfn.PERCENTILE.INC(_xlfn._xlws.FILTER(tabla_base[Rendimiento_por_hectarea_ton], tabla_base[tipo_cultivo]=tabla_base[[#This Row],[tipo_cultivo]]), 0.75)</f>
        <v>5.1635450000000001</v>
      </c>
      <c r="M851" s="7" t="str">
        <f>IF(tabla_base[[#This Row],[Rendimiento_por_hectarea_ton]]&gt;tabla_base[[#This Row],[percentil_0,75]],"Sí","No")</f>
        <v>No</v>
      </c>
      <c r="N851" s="3">
        <v>0.87</v>
      </c>
      <c r="O851" t="s">
        <v>26</v>
      </c>
    </row>
    <row r="852" spans="1:15" x14ac:dyDescent="0.35">
      <c r="A852" t="s">
        <v>886</v>
      </c>
      <c r="B852" t="s">
        <v>22</v>
      </c>
      <c r="C852" t="s">
        <v>23</v>
      </c>
      <c r="D852" t="s">
        <v>18</v>
      </c>
      <c r="E852" s="3">
        <v>28.66</v>
      </c>
      <c r="F852" s="3">
        <v>7.4</v>
      </c>
      <c r="G852" s="3">
        <v>16.420000000000002</v>
      </c>
      <c r="H852" s="4">
        <v>187.54</v>
      </c>
      <c r="I852" s="3">
        <v>62.04</v>
      </c>
      <c r="J852" t="s">
        <v>25</v>
      </c>
      <c r="K852" s="4">
        <v>5.0237699999999998</v>
      </c>
      <c r="L852" s="6" cm="1">
        <f t="array" ref="L852">_xlfn.PERCENTILE.INC(_xlfn._xlws.FILTER(tabla_base[Rendimiento_por_hectarea_ton], tabla_base[tipo_cultivo]=tabla_base[[#This Row],[tipo_cultivo]]), 0.75)</f>
        <v>5.2079399999999998</v>
      </c>
      <c r="M852" s="7" t="str">
        <f>IF(tabla_base[[#This Row],[Rendimiento_por_hectarea_ton]]&gt;tabla_base[[#This Row],[percentil_0,75]],"Sí","No")</f>
        <v>No</v>
      </c>
      <c r="N852" s="3">
        <v>0.66</v>
      </c>
      <c r="O852" t="s">
        <v>26</v>
      </c>
    </row>
    <row r="853" spans="1:15" x14ac:dyDescent="0.35">
      <c r="A853" t="s">
        <v>887</v>
      </c>
      <c r="B853" t="s">
        <v>16</v>
      </c>
      <c r="C853" t="s">
        <v>23</v>
      </c>
      <c r="D853" t="s">
        <v>24</v>
      </c>
      <c r="E853" s="3">
        <v>28.25</v>
      </c>
      <c r="F853" s="3">
        <v>7.09</v>
      </c>
      <c r="G853" s="3">
        <v>16.670000000000002</v>
      </c>
      <c r="H853" s="4">
        <v>243.8</v>
      </c>
      <c r="I853" s="3">
        <v>89.42</v>
      </c>
      <c r="J853" t="s">
        <v>25</v>
      </c>
      <c r="K853" s="4">
        <v>2.7630699999999999</v>
      </c>
      <c r="L853" s="6" cm="1">
        <f t="array" ref="L853">_xlfn.PERCENTILE.INC(_xlfn._xlws.FILTER(tabla_base[Rendimiento_por_hectarea_ton], tabla_base[tipo_cultivo]=tabla_base[[#This Row],[tipo_cultivo]]), 0.75)</f>
        <v>5.3984449999999997</v>
      </c>
      <c r="M853" s="7" t="str">
        <f>IF(tabla_base[[#This Row],[Rendimiento_por_hectarea_ton]]&gt;tabla_base[[#This Row],[percentil_0,75]],"Sí","No")</f>
        <v>No</v>
      </c>
      <c r="N853" s="3">
        <v>0.61</v>
      </c>
      <c r="O853" t="s">
        <v>20</v>
      </c>
    </row>
    <row r="854" spans="1:15" x14ac:dyDescent="0.35">
      <c r="A854" t="s">
        <v>888</v>
      </c>
      <c r="B854" t="s">
        <v>16</v>
      </c>
      <c r="C854" t="s">
        <v>40</v>
      </c>
      <c r="D854" t="s">
        <v>35</v>
      </c>
      <c r="E854" s="3">
        <v>19.87</v>
      </c>
      <c r="F854" s="3">
        <v>7.16</v>
      </c>
      <c r="G854" s="3">
        <v>17.12</v>
      </c>
      <c r="H854" s="4">
        <v>155.38999999999999</v>
      </c>
      <c r="I854" s="3">
        <v>84.87</v>
      </c>
      <c r="J854" t="s">
        <v>25</v>
      </c>
      <c r="K854" s="4">
        <v>4.1889900000000004</v>
      </c>
      <c r="L854" s="6" cm="1">
        <f t="array" ref="L854">_xlfn.PERCENTILE.INC(_xlfn._xlws.FILTER(tabla_base[Rendimiento_por_hectarea_ton], tabla_base[tipo_cultivo]=tabla_base[[#This Row],[tipo_cultivo]]), 0.75)</f>
        <v>5.1318025</v>
      </c>
      <c r="M854" s="7" t="str">
        <f>IF(tabla_base[[#This Row],[Rendimiento_por_hectarea_ton]]&gt;tabla_base[[#This Row],[percentil_0,75]],"Sí","No")</f>
        <v>No</v>
      </c>
      <c r="N854" s="3">
        <v>0.74</v>
      </c>
      <c r="O854" t="s">
        <v>26</v>
      </c>
    </row>
    <row r="855" spans="1:15" x14ac:dyDescent="0.35">
      <c r="A855" t="s">
        <v>889</v>
      </c>
      <c r="B855" t="s">
        <v>544</v>
      </c>
      <c r="C855" t="s">
        <v>17</v>
      </c>
      <c r="D855" t="s">
        <v>24</v>
      </c>
      <c r="E855" s="3">
        <v>30.31</v>
      </c>
      <c r="F855" s="3">
        <v>7.34</v>
      </c>
      <c r="G855" s="3">
        <v>28.64</v>
      </c>
      <c r="H855" s="4">
        <v>220.99</v>
      </c>
      <c r="I855" s="3">
        <v>72.209999999999994</v>
      </c>
      <c r="J855" t="s">
        <v>37</v>
      </c>
      <c r="K855" s="4">
        <v>6.4218099999999998</v>
      </c>
      <c r="L855" s="6" cm="1">
        <f t="array" ref="L855">_xlfn.PERCENTILE.INC(_xlfn._xlws.FILTER(tabla_base[Rendimiento_por_hectarea_ton], tabla_base[tipo_cultivo]=tabla_base[[#This Row],[tipo_cultivo]]), 0.75)</f>
        <v>5.3984449999999997</v>
      </c>
      <c r="M855" s="7" t="str">
        <f>IF(tabla_base[[#This Row],[Rendimiento_por_hectarea_ton]]&gt;tabla_base[[#This Row],[percentil_0,75]],"Sí","No")</f>
        <v>Sí</v>
      </c>
      <c r="N855" s="3">
        <v>0.55000000000000004</v>
      </c>
      <c r="O855" t="s">
        <v>20</v>
      </c>
    </row>
    <row r="856" spans="1:15" x14ac:dyDescent="0.35">
      <c r="A856" t="s">
        <v>890</v>
      </c>
      <c r="B856" t="s">
        <v>16</v>
      </c>
      <c r="C856" t="s">
        <v>17</v>
      </c>
      <c r="D856" t="s">
        <v>18</v>
      </c>
      <c r="E856" s="3">
        <v>34.799999999999997</v>
      </c>
      <c r="F856" s="3">
        <v>7.14</v>
      </c>
      <c r="G856" s="3">
        <v>30.54</v>
      </c>
      <c r="H856" s="4">
        <v>101.22</v>
      </c>
      <c r="I856" s="3">
        <v>87.74</v>
      </c>
      <c r="J856" t="s">
        <v>25</v>
      </c>
      <c r="K856" s="4">
        <v>5.1961399999999998</v>
      </c>
      <c r="L856" s="6" cm="1">
        <f t="array" ref="L856">_xlfn.PERCENTILE.INC(_xlfn._xlws.FILTER(tabla_base[Rendimiento_por_hectarea_ton], tabla_base[tipo_cultivo]=tabla_base[[#This Row],[tipo_cultivo]]), 0.75)</f>
        <v>5.2079399999999998</v>
      </c>
      <c r="M856" s="7" t="str">
        <f>IF(tabla_base[[#This Row],[Rendimiento_por_hectarea_ton]]&gt;tabla_base[[#This Row],[percentil_0,75]],"Sí","No")</f>
        <v>No</v>
      </c>
      <c r="N856" s="3">
        <v>0.77</v>
      </c>
      <c r="O856" t="s">
        <v>20</v>
      </c>
    </row>
    <row r="857" spans="1:15" x14ac:dyDescent="0.35">
      <c r="A857" t="s">
        <v>891</v>
      </c>
      <c r="B857" t="s">
        <v>16</v>
      </c>
      <c r="C857" t="s">
        <v>23</v>
      </c>
      <c r="D857" t="s">
        <v>18</v>
      </c>
      <c r="E857" s="3">
        <v>37.75</v>
      </c>
      <c r="F857" s="3">
        <v>5.57</v>
      </c>
      <c r="G857" s="3">
        <v>32.58</v>
      </c>
      <c r="H857" s="4">
        <v>273.12</v>
      </c>
      <c r="I857" s="3">
        <v>71.84</v>
      </c>
      <c r="J857" t="s">
        <v>25</v>
      </c>
      <c r="K857" s="4">
        <v>3.79372</v>
      </c>
      <c r="L857" s="6" cm="1">
        <f t="array" ref="L857">_xlfn.PERCENTILE.INC(_xlfn._xlws.FILTER(tabla_base[Rendimiento_por_hectarea_ton], tabla_base[tipo_cultivo]=tabla_base[[#This Row],[tipo_cultivo]]), 0.75)</f>
        <v>5.2079399999999998</v>
      </c>
      <c r="M857" s="7" t="str">
        <f>IF(tabla_base[[#This Row],[Rendimiento_por_hectarea_ton]]&gt;tabla_base[[#This Row],[percentil_0,75]],"Sí","No")</f>
        <v>No</v>
      </c>
      <c r="N857" s="3">
        <v>0.85</v>
      </c>
      <c r="O857" t="s">
        <v>20</v>
      </c>
    </row>
    <row r="858" spans="1:15" x14ac:dyDescent="0.35">
      <c r="A858" t="s">
        <v>892</v>
      </c>
      <c r="B858" t="s">
        <v>16</v>
      </c>
      <c r="C858" t="s">
        <v>17</v>
      </c>
      <c r="D858" t="s">
        <v>35</v>
      </c>
      <c r="E858" s="3">
        <v>15.19</v>
      </c>
      <c r="F858" s="3">
        <v>6.65</v>
      </c>
      <c r="G858" s="3">
        <v>27.3</v>
      </c>
      <c r="H858" s="4">
        <v>140.82</v>
      </c>
      <c r="I858" s="3">
        <v>58.07</v>
      </c>
      <c r="J858" t="s">
        <v>28</v>
      </c>
      <c r="K858" s="4">
        <v>3.3291900000000001</v>
      </c>
      <c r="L858" s="6" cm="1">
        <f t="array" ref="L858">_xlfn.PERCENTILE.INC(_xlfn._xlws.FILTER(tabla_base[Rendimiento_por_hectarea_ton], tabla_base[tipo_cultivo]=tabla_base[[#This Row],[tipo_cultivo]]), 0.75)</f>
        <v>5.1318025</v>
      </c>
      <c r="M858" s="7" t="str">
        <f>IF(tabla_base[[#This Row],[Rendimiento_por_hectarea_ton]]&gt;tabla_base[[#This Row],[percentil_0,75]],"Sí","No")</f>
        <v>No</v>
      </c>
      <c r="N858" s="3">
        <v>0.6</v>
      </c>
      <c r="O858" t="s">
        <v>26</v>
      </c>
    </row>
    <row r="859" spans="1:15" x14ac:dyDescent="0.35">
      <c r="A859" t="s">
        <v>893</v>
      </c>
      <c r="B859" t="s">
        <v>22</v>
      </c>
      <c r="C859" t="s">
        <v>30</v>
      </c>
      <c r="D859" t="s">
        <v>33</v>
      </c>
      <c r="E859" s="3">
        <v>38.29</v>
      </c>
      <c r="F859" s="3">
        <v>5.91</v>
      </c>
      <c r="G859" s="3">
        <v>21.07</v>
      </c>
      <c r="H859" s="4">
        <v>74.03</v>
      </c>
      <c r="I859" s="3">
        <v>59.24</v>
      </c>
      <c r="J859" t="s">
        <v>19</v>
      </c>
      <c r="K859" s="4">
        <v>4.9847599999999996</v>
      </c>
      <c r="L859" s="6" cm="1">
        <f t="array" ref="L859">_xlfn.PERCENTILE.INC(_xlfn._xlws.FILTER(tabla_base[Rendimiento_por_hectarea_ton], tabla_base[tipo_cultivo]=tabla_base[[#This Row],[tipo_cultivo]]), 0.75)</f>
        <v>5.1635450000000001</v>
      </c>
      <c r="M859" s="7" t="str">
        <f>IF(tabla_base[[#This Row],[Rendimiento_por_hectarea_ton]]&gt;tabla_base[[#This Row],[percentil_0,75]],"Sí","No")</f>
        <v>No</v>
      </c>
      <c r="N859" s="3">
        <v>0.73</v>
      </c>
      <c r="O859" t="s">
        <v>19</v>
      </c>
    </row>
    <row r="860" spans="1:15" x14ac:dyDescent="0.35">
      <c r="A860" t="s">
        <v>894</v>
      </c>
      <c r="B860" t="s">
        <v>22</v>
      </c>
      <c r="C860" t="s">
        <v>30</v>
      </c>
      <c r="D860" t="s">
        <v>18</v>
      </c>
      <c r="E860" s="3">
        <v>24.85</v>
      </c>
      <c r="F860" s="3">
        <v>6.21</v>
      </c>
      <c r="G860" s="3">
        <v>25.18</v>
      </c>
      <c r="H860" s="4">
        <v>255.47</v>
      </c>
      <c r="I860" s="3">
        <v>70.37</v>
      </c>
      <c r="J860" t="s">
        <v>25</v>
      </c>
      <c r="K860" s="4">
        <v>4.6784999999999997</v>
      </c>
      <c r="L860" s="6" cm="1">
        <f t="array" ref="L860">_xlfn.PERCENTILE.INC(_xlfn._xlws.FILTER(tabla_base[Rendimiento_por_hectarea_ton], tabla_base[tipo_cultivo]=tabla_base[[#This Row],[tipo_cultivo]]), 0.75)</f>
        <v>5.2079399999999998</v>
      </c>
      <c r="M860" s="7" t="str">
        <f>IF(tabla_base[[#This Row],[Rendimiento_por_hectarea_ton]]&gt;tabla_base[[#This Row],[percentil_0,75]],"Sí","No")</f>
        <v>No</v>
      </c>
      <c r="N860" s="3">
        <v>0.69</v>
      </c>
      <c r="O860" t="s">
        <v>26</v>
      </c>
    </row>
    <row r="861" spans="1:15" x14ac:dyDescent="0.35">
      <c r="A861" t="s">
        <v>895</v>
      </c>
      <c r="B861" t="s">
        <v>22</v>
      </c>
      <c r="C861" t="s">
        <v>40</v>
      </c>
      <c r="D861" t="s">
        <v>24</v>
      </c>
      <c r="E861" s="3">
        <v>20.18</v>
      </c>
      <c r="F861" s="3">
        <v>6.47</v>
      </c>
      <c r="G861" s="3">
        <v>19.89</v>
      </c>
      <c r="H861" s="4">
        <v>179.83</v>
      </c>
      <c r="I861" s="3">
        <v>81.81</v>
      </c>
      <c r="J861" t="s">
        <v>37</v>
      </c>
      <c r="K861" s="4">
        <v>5.2125000000000004</v>
      </c>
      <c r="L861" s="6" cm="1">
        <f t="array" ref="L861">_xlfn.PERCENTILE.INC(_xlfn._xlws.FILTER(tabla_base[Rendimiento_por_hectarea_ton], tabla_base[tipo_cultivo]=tabla_base[[#This Row],[tipo_cultivo]]), 0.75)</f>
        <v>5.3984449999999997</v>
      </c>
      <c r="M861" s="7" t="str">
        <f>IF(tabla_base[[#This Row],[Rendimiento_por_hectarea_ton]]&gt;tabla_base[[#This Row],[percentil_0,75]],"Sí","No")</f>
        <v>No</v>
      </c>
      <c r="N861" s="3">
        <v>0.87</v>
      </c>
      <c r="O861" t="s">
        <v>26</v>
      </c>
    </row>
    <row r="862" spans="1:15" x14ac:dyDescent="0.35">
      <c r="A862" t="s">
        <v>896</v>
      </c>
      <c r="B862" t="s">
        <v>16</v>
      </c>
      <c r="C862" t="s">
        <v>17</v>
      </c>
      <c r="D862" t="s">
        <v>24</v>
      </c>
      <c r="E862" s="3">
        <v>21.22</v>
      </c>
      <c r="F862" s="3">
        <v>5.65</v>
      </c>
      <c r="G862" s="3">
        <v>18.059999999999999</v>
      </c>
      <c r="H862" s="4">
        <v>270.93</v>
      </c>
      <c r="I862" s="3">
        <v>56.74</v>
      </c>
      <c r="J862" t="s">
        <v>37</v>
      </c>
      <c r="K862" s="4">
        <v>4.7395100000000001</v>
      </c>
      <c r="L862" s="6" cm="1">
        <f t="array" ref="L862">_xlfn.PERCENTILE.INC(_xlfn._xlws.FILTER(tabla_base[Rendimiento_por_hectarea_ton], tabla_base[tipo_cultivo]=tabla_base[[#This Row],[tipo_cultivo]]), 0.75)</f>
        <v>5.3984449999999997</v>
      </c>
      <c r="M862" s="7" t="str">
        <f>IF(tabla_base[[#This Row],[Rendimiento_por_hectarea_ton]]&gt;tabla_base[[#This Row],[percentil_0,75]],"Sí","No")</f>
        <v>No</v>
      </c>
      <c r="N862" s="3">
        <v>0.59</v>
      </c>
      <c r="O862" t="s">
        <v>20</v>
      </c>
    </row>
    <row r="863" spans="1:15" x14ac:dyDescent="0.35">
      <c r="A863" t="s">
        <v>897</v>
      </c>
      <c r="B863" t="s">
        <v>16</v>
      </c>
      <c r="C863" t="s">
        <v>17</v>
      </c>
      <c r="D863" t="s">
        <v>18</v>
      </c>
      <c r="E863" s="3">
        <v>32.85</v>
      </c>
      <c r="F863" s="3">
        <v>5.75</v>
      </c>
      <c r="G863" s="3">
        <v>21.47</v>
      </c>
      <c r="H863" s="4">
        <v>207.89</v>
      </c>
      <c r="I863" s="3">
        <v>88.1</v>
      </c>
      <c r="J863" t="s">
        <v>28</v>
      </c>
      <c r="K863" s="4">
        <v>5.7996600000000003</v>
      </c>
      <c r="L863" s="6" cm="1">
        <f t="array" ref="L863">_xlfn.PERCENTILE.INC(_xlfn._xlws.FILTER(tabla_base[Rendimiento_por_hectarea_ton], tabla_base[tipo_cultivo]=tabla_base[[#This Row],[tipo_cultivo]]), 0.75)</f>
        <v>5.2079399999999998</v>
      </c>
      <c r="M863" s="7" t="str">
        <f>IF(tabla_base[[#This Row],[Rendimiento_por_hectarea_ton]]&gt;tabla_base[[#This Row],[percentil_0,75]],"Sí","No")</f>
        <v>Sí</v>
      </c>
      <c r="N863" s="3">
        <v>0.78</v>
      </c>
      <c r="O863" t="s">
        <v>26</v>
      </c>
    </row>
    <row r="864" spans="1:15" x14ac:dyDescent="0.35">
      <c r="A864" t="s">
        <v>898</v>
      </c>
      <c r="B864" t="s">
        <v>16</v>
      </c>
      <c r="C864" t="s">
        <v>23</v>
      </c>
      <c r="D864" t="s">
        <v>18</v>
      </c>
      <c r="E864" s="3">
        <v>38.25</v>
      </c>
      <c r="F864" s="3">
        <v>5.71</v>
      </c>
      <c r="G864" s="3">
        <v>33.69</v>
      </c>
      <c r="H864" s="4">
        <v>247.26</v>
      </c>
      <c r="I864" s="3">
        <v>53.17</v>
      </c>
      <c r="J864" t="s">
        <v>25</v>
      </c>
      <c r="K864" s="4">
        <v>3.8036300000000001</v>
      </c>
      <c r="L864" s="6" cm="1">
        <f t="array" ref="L864">_xlfn.PERCENTILE.INC(_xlfn._xlws.FILTER(tabla_base[Rendimiento_por_hectarea_ton], tabla_base[tipo_cultivo]=tabla_base[[#This Row],[tipo_cultivo]]), 0.75)</f>
        <v>5.2079399999999998</v>
      </c>
      <c r="M864" s="7" t="str">
        <f>IF(tabla_base[[#This Row],[Rendimiento_por_hectarea_ton]]&gt;tabla_base[[#This Row],[percentil_0,75]],"Sí","No")</f>
        <v>No</v>
      </c>
      <c r="N864" s="3">
        <v>0.83</v>
      </c>
      <c r="O864" t="s">
        <v>26</v>
      </c>
    </row>
    <row r="865" spans="1:15" x14ac:dyDescent="0.35">
      <c r="A865" t="s">
        <v>899</v>
      </c>
      <c r="B865" t="s">
        <v>16</v>
      </c>
      <c r="C865" t="s">
        <v>17</v>
      </c>
      <c r="D865" t="s">
        <v>33</v>
      </c>
      <c r="E865" s="3">
        <v>26.86</v>
      </c>
      <c r="F865" s="3">
        <v>6.96</v>
      </c>
      <c r="G865" s="3">
        <v>32.619999999999997</v>
      </c>
      <c r="H865" s="4">
        <v>137.59</v>
      </c>
      <c r="I865" s="3">
        <v>55.19</v>
      </c>
      <c r="J865" t="s">
        <v>25</v>
      </c>
      <c r="K865" s="4">
        <v>6.2484799999999998</v>
      </c>
      <c r="L865" s="6" cm="1">
        <f t="array" ref="L865">_xlfn.PERCENTILE.INC(_xlfn._xlws.FILTER(tabla_base[Rendimiento_por_hectarea_ton], tabla_base[tipo_cultivo]=tabla_base[[#This Row],[tipo_cultivo]]), 0.75)</f>
        <v>5.1635450000000001</v>
      </c>
      <c r="M865" s="7" t="str">
        <f>IF(tabla_base[[#This Row],[Rendimiento_por_hectarea_ton]]&gt;tabla_base[[#This Row],[percentil_0,75]],"Sí","No")</f>
        <v>Sí</v>
      </c>
      <c r="N865" s="3">
        <v>0.83</v>
      </c>
      <c r="O865" t="s">
        <v>19</v>
      </c>
    </row>
    <row r="866" spans="1:15" x14ac:dyDescent="0.35">
      <c r="A866" t="s">
        <v>900</v>
      </c>
      <c r="B866" t="s">
        <v>16</v>
      </c>
      <c r="C866" t="s">
        <v>40</v>
      </c>
      <c r="D866" t="s">
        <v>18</v>
      </c>
      <c r="E866" s="3">
        <v>33.020000000000003</v>
      </c>
      <c r="F866" s="3">
        <v>7.33</v>
      </c>
      <c r="G866" s="3">
        <v>28.38</v>
      </c>
      <c r="H866" s="4">
        <v>158.68</v>
      </c>
      <c r="I866" s="3">
        <v>85.45</v>
      </c>
      <c r="J866" t="s">
        <v>37</v>
      </c>
      <c r="K866" s="4">
        <v>5.0459699999999996</v>
      </c>
      <c r="L866" s="6" cm="1">
        <f t="array" ref="L866">_xlfn.PERCENTILE.INC(_xlfn._xlws.FILTER(tabla_base[Rendimiento_por_hectarea_ton], tabla_base[tipo_cultivo]=tabla_base[[#This Row],[tipo_cultivo]]), 0.75)</f>
        <v>5.2079399999999998</v>
      </c>
      <c r="M866" s="7" t="str">
        <f>IF(tabla_base[[#This Row],[Rendimiento_por_hectarea_ton]]&gt;tabla_base[[#This Row],[percentil_0,75]],"Sí","No")</f>
        <v>No</v>
      </c>
      <c r="N866" s="3">
        <v>0.67</v>
      </c>
      <c r="O866" t="s">
        <v>19</v>
      </c>
    </row>
    <row r="867" spans="1:15" x14ac:dyDescent="0.35">
      <c r="A867" t="s">
        <v>901</v>
      </c>
      <c r="B867" t="s">
        <v>544</v>
      </c>
      <c r="C867" t="s">
        <v>17</v>
      </c>
      <c r="D867" t="s">
        <v>547</v>
      </c>
      <c r="E867" s="3">
        <v>39.36</v>
      </c>
      <c r="F867" s="3">
        <v>5.8</v>
      </c>
      <c r="G867" s="3">
        <v>21.78</v>
      </c>
      <c r="H867" s="4">
        <v>193.41</v>
      </c>
      <c r="I867" s="3">
        <v>61.48</v>
      </c>
      <c r="J867" t="s">
        <v>37</v>
      </c>
      <c r="K867" s="4">
        <v>2.5950899999999999</v>
      </c>
      <c r="L867" s="6" cm="1">
        <f t="array" ref="L867">_xlfn.PERCENTILE.INC(_xlfn._xlws.FILTER(tabla_base[Rendimiento_por_hectarea_ton], tabla_base[tipo_cultivo]=tabla_base[[#This Row],[tipo_cultivo]]), 0.75)</f>
        <v>5.2323700000000004</v>
      </c>
      <c r="M867" s="7" t="str">
        <f>IF(tabla_base[[#This Row],[Rendimiento_por_hectarea_ton]]&gt;tabla_base[[#This Row],[percentil_0,75]],"Sí","No")</f>
        <v>No</v>
      </c>
      <c r="N867" s="3">
        <v>0.72</v>
      </c>
      <c r="O867" t="s">
        <v>19</v>
      </c>
    </row>
    <row r="868" spans="1:15" x14ac:dyDescent="0.35">
      <c r="A868" t="s">
        <v>902</v>
      </c>
      <c r="B868" t="s">
        <v>16</v>
      </c>
      <c r="C868" t="s">
        <v>23</v>
      </c>
      <c r="D868" t="s">
        <v>18</v>
      </c>
      <c r="E868" s="3">
        <v>32.549999999999997</v>
      </c>
      <c r="F868" s="3">
        <v>5.62</v>
      </c>
      <c r="G868" s="3">
        <v>15.92</v>
      </c>
      <c r="H868" s="4">
        <v>99.14</v>
      </c>
      <c r="I868" s="3">
        <v>77.03</v>
      </c>
      <c r="J868" t="s">
        <v>19</v>
      </c>
      <c r="K868" s="4">
        <v>4.3689400000000003</v>
      </c>
      <c r="L868" s="6" cm="1">
        <f t="array" ref="L868">_xlfn.PERCENTILE.INC(_xlfn._xlws.FILTER(tabla_base[Rendimiento_por_hectarea_ton], tabla_base[tipo_cultivo]=tabla_base[[#This Row],[tipo_cultivo]]), 0.75)</f>
        <v>5.2079399999999998</v>
      </c>
      <c r="M868" s="7" t="str">
        <f>IF(tabla_base[[#This Row],[Rendimiento_por_hectarea_ton]]&gt;tabla_base[[#This Row],[percentil_0,75]],"Sí","No")</f>
        <v>No</v>
      </c>
      <c r="N868" s="3">
        <v>0.57999999999999996</v>
      </c>
      <c r="O868" t="s">
        <v>19</v>
      </c>
    </row>
    <row r="869" spans="1:15" x14ac:dyDescent="0.35">
      <c r="A869" t="s">
        <v>903</v>
      </c>
      <c r="B869" t="s">
        <v>16</v>
      </c>
      <c r="C869" t="s">
        <v>30</v>
      </c>
      <c r="D869" t="s">
        <v>33</v>
      </c>
      <c r="E869" s="3">
        <v>32.43</v>
      </c>
      <c r="F869" s="3">
        <v>5.88</v>
      </c>
      <c r="G869" s="3">
        <v>20.66</v>
      </c>
      <c r="H869" s="4">
        <v>247.97</v>
      </c>
      <c r="I869" s="3">
        <v>73.27</v>
      </c>
      <c r="J869" t="s">
        <v>37</v>
      </c>
      <c r="K869" s="4">
        <v>6.0924899999999997</v>
      </c>
      <c r="L869" s="6" cm="1">
        <f t="array" ref="L869">_xlfn.PERCENTILE.INC(_xlfn._xlws.FILTER(tabla_base[Rendimiento_por_hectarea_ton], tabla_base[tipo_cultivo]=tabla_base[[#This Row],[tipo_cultivo]]), 0.75)</f>
        <v>5.1635450000000001</v>
      </c>
      <c r="M869" s="7" t="str">
        <f>IF(tabla_base[[#This Row],[Rendimiento_por_hectarea_ton]]&gt;tabla_base[[#This Row],[percentil_0,75]],"Sí","No")</f>
        <v>Sí</v>
      </c>
      <c r="N869" s="3">
        <v>0.56000000000000005</v>
      </c>
      <c r="O869" t="s">
        <v>26</v>
      </c>
    </row>
    <row r="870" spans="1:15" x14ac:dyDescent="0.35">
      <c r="A870" t="s">
        <v>904</v>
      </c>
      <c r="B870" t="s">
        <v>16</v>
      </c>
      <c r="C870" t="s">
        <v>30</v>
      </c>
      <c r="D870" t="s">
        <v>24</v>
      </c>
      <c r="E870" s="3">
        <v>31.31</v>
      </c>
      <c r="F870" s="3">
        <v>7.48</v>
      </c>
      <c r="G870" s="3">
        <v>34.83</v>
      </c>
      <c r="H870" s="4">
        <v>168.66</v>
      </c>
      <c r="I870" s="3">
        <v>53.24</v>
      </c>
      <c r="J870" t="s">
        <v>25</v>
      </c>
      <c r="K870" s="4">
        <v>3.3626999999999998</v>
      </c>
      <c r="L870" s="6" cm="1">
        <f t="array" ref="L870">_xlfn.PERCENTILE.INC(_xlfn._xlws.FILTER(tabla_base[Rendimiento_por_hectarea_ton], tabla_base[tipo_cultivo]=tabla_base[[#This Row],[tipo_cultivo]]), 0.75)</f>
        <v>5.3984449999999997</v>
      </c>
      <c r="M870" s="7" t="str">
        <f>IF(tabla_base[[#This Row],[Rendimiento_por_hectarea_ton]]&gt;tabla_base[[#This Row],[percentil_0,75]],"Sí","No")</f>
        <v>No</v>
      </c>
      <c r="N870" s="3">
        <v>0.84</v>
      </c>
      <c r="O870" t="s">
        <v>20</v>
      </c>
    </row>
    <row r="871" spans="1:15" x14ac:dyDescent="0.35">
      <c r="A871" t="s">
        <v>905</v>
      </c>
      <c r="B871" t="s">
        <v>22</v>
      </c>
      <c r="C871" t="s">
        <v>30</v>
      </c>
      <c r="D871" t="s">
        <v>18</v>
      </c>
      <c r="E871" s="3">
        <v>19.920000000000002</v>
      </c>
      <c r="F871" s="3">
        <v>5.62</v>
      </c>
      <c r="G871" s="3">
        <v>20.05</v>
      </c>
      <c r="H871" s="4">
        <v>284.7</v>
      </c>
      <c r="I871" s="3">
        <v>86.42</v>
      </c>
      <c r="J871" t="s">
        <v>37</v>
      </c>
      <c r="K871" s="4">
        <v>4.5158199999999997</v>
      </c>
      <c r="L871" s="6" cm="1">
        <f t="array" ref="L871">_xlfn.PERCENTILE.INC(_xlfn._xlws.FILTER(tabla_base[Rendimiento_por_hectarea_ton], tabla_base[tipo_cultivo]=tabla_base[[#This Row],[tipo_cultivo]]), 0.75)</f>
        <v>5.2079399999999998</v>
      </c>
      <c r="M871" s="7" t="str">
        <f>IF(tabla_base[[#This Row],[Rendimiento_por_hectarea_ton]]&gt;tabla_base[[#This Row],[percentil_0,75]],"Sí","No")</f>
        <v>No</v>
      </c>
      <c r="N871" s="3">
        <v>0.63</v>
      </c>
      <c r="O871" t="s">
        <v>20</v>
      </c>
    </row>
    <row r="872" spans="1:15" x14ac:dyDescent="0.35">
      <c r="A872" t="s">
        <v>906</v>
      </c>
      <c r="B872" t="s">
        <v>22</v>
      </c>
      <c r="C872" t="s">
        <v>30</v>
      </c>
      <c r="D872" t="s">
        <v>24</v>
      </c>
      <c r="E872" s="3">
        <v>33.44</v>
      </c>
      <c r="F872" s="3">
        <v>5.64</v>
      </c>
      <c r="G872" s="3">
        <v>27.36</v>
      </c>
      <c r="H872" s="4">
        <v>150.69999999999999</v>
      </c>
      <c r="I872" s="3">
        <v>76.58</v>
      </c>
      <c r="J872" t="s">
        <v>25</v>
      </c>
      <c r="K872" s="4">
        <v>6.0832300000000004</v>
      </c>
      <c r="L872" s="6" cm="1">
        <f t="array" ref="L872">_xlfn.PERCENTILE.INC(_xlfn._xlws.FILTER(tabla_base[Rendimiento_por_hectarea_ton], tabla_base[tipo_cultivo]=tabla_base[[#This Row],[tipo_cultivo]]), 0.75)</f>
        <v>5.3984449999999997</v>
      </c>
      <c r="M872" s="7" t="str">
        <f>IF(tabla_base[[#This Row],[Rendimiento_por_hectarea_ton]]&gt;tabla_base[[#This Row],[percentil_0,75]],"Sí","No")</f>
        <v>Sí</v>
      </c>
      <c r="N872" s="3">
        <v>0.76</v>
      </c>
      <c r="O872" t="s">
        <v>19</v>
      </c>
    </row>
    <row r="873" spans="1:15" x14ac:dyDescent="0.35">
      <c r="A873" t="s">
        <v>907</v>
      </c>
      <c r="B873" t="s">
        <v>16</v>
      </c>
      <c r="C873" t="s">
        <v>23</v>
      </c>
      <c r="D873" t="s">
        <v>24</v>
      </c>
      <c r="E873" s="3">
        <v>34.49</v>
      </c>
      <c r="F873" s="3">
        <v>5.85</v>
      </c>
      <c r="G873" s="3">
        <v>30.95</v>
      </c>
      <c r="H873" s="4">
        <v>237.89</v>
      </c>
      <c r="I873" s="3">
        <v>71.25</v>
      </c>
      <c r="J873" t="s">
        <v>19</v>
      </c>
      <c r="K873" s="4">
        <v>5.7187099999999997</v>
      </c>
      <c r="L873" s="6" cm="1">
        <f t="array" ref="L873">_xlfn.PERCENTILE.INC(_xlfn._xlws.FILTER(tabla_base[Rendimiento_por_hectarea_ton], tabla_base[tipo_cultivo]=tabla_base[[#This Row],[tipo_cultivo]]), 0.75)</f>
        <v>5.3984449999999997</v>
      </c>
      <c r="M873" s="7" t="str">
        <f>IF(tabla_base[[#This Row],[Rendimiento_por_hectarea_ton]]&gt;tabla_base[[#This Row],[percentil_0,75]],"Sí","No")</f>
        <v>Sí</v>
      </c>
      <c r="N873" s="3">
        <v>0.55000000000000004</v>
      </c>
      <c r="O873" t="s">
        <v>26</v>
      </c>
    </row>
    <row r="874" spans="1:15" x14ac:dyDescent="0.35">
      <c r="A874" t="s">
        <v>908</v>
      </c>
      <c r="B874" t="s">
        <v>16</v>
      </c>
      <c r="C874" t="s">
        <v>23</v>
      </c>
      <c r="D874" t="s">
        <v>31</v>
      </c>
      <c r="E874" s="3">
        <v>25.6</v>
      </c>
      <c r="F874" s="3">
        <v>6.67</v>
      </c>
      <c r="G874" s="3">
        <v>17.38</v>
      </c>
      <c r="H874" s="4">
        <v>93.95</v>
      </c>
      <c r="I874" s="3">
        <v>54.31</v>
      </c>
      <c r="J874" t="s">
        <v>25</v>
      </c>
      <c r="K874" s="4">
        <v>4.5594099999999997</v>
      </c>
      <c r="L874" s="6" cm="1">
        <f t="array" ref="L874">_xlfn.PERCENTILE.INC(_xlfn._xlws.FILTER(tabla_base[Rendimiento_por_hectarea_ton], tabla_base[tipo_cultivo]=tabla_base[[#This Row],[tipo_cultivo]]), 0.75)</f>
        <v>5.1742550000000005</v>
      </c>
      <c r="M874" s="7" t="str">
        <f>IF(tabla_base[[#This Row],[Rendimiento_por_hectarea_ton]]&gt;tabla_base[[#This Row],[percentil_0,75]],"Sí","No")</f>
        <v>No</v>
      </c>
      <c r="N874" s="3">
        <v>0.61</v>
      </c>
      <c r="O874" t="s">
        <v>20</v>
      </c>
    </row>
    <row r="875" spans="1:15" x14ac:dyDescent="0.35">
      <c r="A875" t="s">
        <v>909</v>
      </c>
      <c r="B875" t="s">
        <v>22</v>
      </c>
      <c r="C875" t="s">
        <v>23</v>
      </c>
      <c r="D875" t="s">
        <v>24</v>
      </c>
      <c r="E875" s="3">
        <v>23</v>
      </c>
      <c r="F875" s="3">
        <v>6.76</v>
      </c>
      <c r="G875" s="3">
        <v>29.32</v>
      </c>
      <c r="H875" s="4">
        <v>264.57</v>
      </c>
      <c r="I875" s="3">
        <v>79.16</v>
      </c>
      <c r="J875" t="s">
        <v>28</v>
      </c>
      <c r="K875" s="4">
        <v>3.7191100000000001</v>
      </c>
      <c r="L875" s="6" cm="1">
        <f t="array" ref="L875">_xlfn.PERCENTILE.INC(_xlfn._xlws.FILTER(tabla_base[Rendimiento_por_hectarea_ton], tabla_base[tipo_cultivo]=tabla_base[[#This Row],[tipo_cultivo]]), 0.75)</f>
        <v>5.3984449999999997</v>
      </c>
      <c r="M875" s="7" t="str">
        <f>IF(tabla_base[[#This Row],[Rendimiento_por_hectarea_ton]]&gt;tabla_base[[#This Row],[percentil_0,75]],"Sí","No")</f>
        <v>No</v>
      </c>
      <c r="N875" s="3">
        <v>0.53</v>
      </c>
      <c r="O875" t="s">
        <v>26</v>
      </c>
    </row>
    <row r="876" spans="1:15" x14ac:dyDescent="0.35">
      <c r="A876" t="s">
        <v>910</v>
      </c>
      <c r="B876" t="s">
        <v>16</v>
      </c>
      <c r="C876" t="s">
        <v>17</v>
      </c>
      <c r="D876" t="s">
        <v>24</v>
      </c>
      <c r="E876" s="3">
        <v>34.61</v>
      </c>
      <c r="F876" s="3">
        <v>7.23</v>
      </c>
      <c r="G876" s="3">
        <v>30.23</v>
      </c>
      <c r="H876" s="4">
        <v>285.70999999999998</v>
      </c>
      <c r="I876" s="3">
        <v>71.069999999999993</v>
      </c>
      <c r="J876" t="s">
        <v>37</v>
      </c>
      <c r="K876" s="4">
        <v>3.6173000000000002</v>
      </c>
      <c r="L876" s="6" cm="1">
        <f t="array" ref="L876">_xlfn.PERCENTILE.INC(_xlfn._xlws.FILTER(tabla_base[Rendimiento_por_hectarea_ton], tabla_base[tipo_cultivo]=tabla_base[[#This Row],[tipo_cultivo]]), 0.75)</f>
        <v>5.3984449999999997</v>
      </c>
      <c r="M876" s="7" t="str">
        <f>IF(tabla_base[[#This Row],[Rendimiento_por_hectarea_ton]]&gt;tabla_base[[#This Row],[percentil_0,75]],"Sí","No")</f>
        <v>No</v>
      </c>
      <c r="N876" s="3">
        <v>0.59</v>
      </c>
      <c r="O876" t="s">
        <v>20</v>
      </c>
    </row>
    <row r="877" spans="1:15" x14ac:dyDescent="0.35">
      <c r="A877" t="s">
        <v>911</v>
      </c>
      <c r="B877" t="s">
        <v>16</v>
      </c>
      <c r="C877" t="s">
        <v>40</v>
      </c>
      <c r="D877" t="s">
        <v>35</v>
      </c>
      <c r="E877" s="3">
        <v>19.47</v>
      </c>
      <c r="F877" s="3">
        <v>5.86</v>
      </c>
      <c r="G877" s="3">
        <v>26.1</v>
      </c>
      <c r="H877" s="4">
        <v>287.72000000000003</v>
      </c>
      <c r="I877" s="3">
        <v>64.099999999999994</v>
      </c>
      <c r="J877" t="s">
        <v>28</v>
      </c>
      <c r="K877" s="4">
        <v>2.5661700000000001</v>
      </c>
      <c r="L877" s="6" cm="1">
        <f t="array" ref="L877">_xlfn.PERCENTILE.INC(_xlfn._xlws.FILTER(tabla_base[Rendimiento_por_hectarea_ton], tabla_base[tipo_cultivo]=tabla_base[[#This Row],[tipo_cultivo]]), 0.75)</f>
        <v>5.1318025</v>
      </c>
      <c r="M877" s="7" t="str">
        <f>IF(tabla_base[[#This Row],[Rendimiento_por_hectarea_ton]]&gt;tabla_base[[#This Row],[percentil_0,75]],"Sí","No")</f>
        <v>No</v>
      </c>
      <c r="N877" s="3">
        <v>0.81</v>
      </c>
      <c r="O877" t="s">
        <v>20</v>
      </c>
    </row>
    <row r="878" spans="1:15" x14ac:dyDescent="0.35">
      <c r="A878" t="s">
        <v>912</v>
      </c>
      <c r="B878" t="s">
        <v>16</v>
      </c>
      <c r="C878" t="s">
        <v>17</v>
      </c>
      <c r="D878" t="s">
        <v>33</v>
      </c>
      <c r="E878" s="3">
        <v>23.09</v>
      </c>
      <c r="F878" s="3">
        <v>6.02</v>
      </c>
      <c r="G878" s="3">
        <v>22.99</v>
      </c>
      <c r="H878" s="4">
        <v>236.82</v>
      </c>
      <c r="I878" s="3">
        <v>88.99</v>
      </c>
      <c r="J878" t="s">
        <v>25</v>
      </c>
      <c r="K878" s="4">
        <v>4.4170699999999998</v>
      </c>
      <c r="L878" s="6" cm="1">
        <f t="array" ref="L878">_xlfn.PERCENTILE.INC(_xlfn._xlws.FILTER(tabla_base[Rendimiento_por_hectarea_ton], tabla_base[tipo_cultivo]=tabla_base[[#This Row],[tipo_cultivo]]), 0.75)</f>
        <v>5.1635450000000001</v>
      </c>
      <c r="M878" s="7" t="str">
        <f>IF(tabla_base[[#This Row],[Rendimiento_por_hectarea_ton]]&gt;tabla_base[[#This Row],[percentil_0,75]],"Sí","No")</f>
        <v>No</v>
      </c>
      <c r="N878" s="3">
        <v>0.78</v>
      </c>
      <c r="O878" t="s">
        <v>19</v>
      </c>
    </row>
    <row r="879" spans="1:15" x14ac:dyDescent="0.35">
      <c r="A879" t="s">
        <v>913</v>
      </c>
      <c r="B879" t="s">
        <v>16</v>
      </c>
      <c r="C879" t="s">
        <v>17</v>
      </c>
      <c r="D879" t="s">
        <v>547</v>
      </c>
      <c r="E879" s="3">
        <v>17.63</v>
      </c>
      <c r="F879" s="3">
        <v>7.23</v>
      </c>
      <c r="G879" s="3">
        <v>31.15</v>
      </c>
      <c r="H879" s="4">
        <v>254.91</v>
      </c>
      <c r="I879" s="3">
        <v>50.82</v>
      </c>
      <c r="J879" t="s">
        <v>37</v>
      </c>
      <c r="K879" s="4">
        <v>3.72051</v>
      </c>
      <c r="L879" s="6" cm="1">
        <f t="array" ref="L879">_xlfn.PERCENTILE.INC(_xlfn._xlws.FILTER(tabla_base[Rendimiento_por_hectarea_ton], tabla_base[tipo_cultivo]=tabla_base[[#This Row],[tipo_cultivo]]), 0.75)</f>
        <v>5.2323700000000004</v>
      </c>
      <c r="M879" s="7" t="str">
        <f>IF(tabla_base[[#This Row],[Rendimiento_por_hectarea_ton]]&gt;tabla_base[[#This Row],[percentil_0,75]],"Sí","No")</f>
        <v>No</v>
      </c>
      <c r="N879" s="3">
        <v>0.89</v>
      </c>
      <c r="O879" t="s">
        <v>26</v>
      </c>
    </row>
    <row r="880" spans="1:15" x14ac:dyDescent="0.35">
      <c r="A880" t="s">
        <v>914</v>
      </c>
      <c r="B880" t="s">
        <v>16</v>
      </c>
      <c r="C880" t="s">
        <v>23</v>
      </c>
      <c r="D880" t="s">
        <v>33</v>
      </c>
      <c r="E880" s="3">
        <v>34.83</v>
      </c>
      <c r="F880" s="3">
        <v>6.57</v>
      </c>
      <c r="G880" s="3">
        <v>16.96</v>
      </c>
      <c r="H880" s="4">
        <v>228.12</v>
      </c>
      <c r="I880" s="3">
        <v>79.48</v>
      </c>
      <c r="J880" t="s">
        <v>28</v>
      </c>
      <c r="K880" s="4">
        <v>2.6380400000000002</v>
      </c>
      <c r="L880" s="6" cm="1">
        <f t="array" ref="L880">_xlfn.PERCENTILE.INC(_xlfn._xlws.FILTER(tabla_base[Rendimiento_por_hectarea_ton], tabla_base[tipo_cultivo]=tabla_base[[#This Row],[tipo_cultivo]]), 0.75)</f>
        <v>5.1635450000000001</v>
      </c>
      <c r="M880" s="7" t="str">
        <f>IF(tabla_base[[#This Row],[Rendimiento_por_hectarea_ton]]&gt;tabla_base[[#This Row],[percentil_0,75]],"Sí","No")</f>
        <v>No</v>
      </c>
      <c r="N880" s="3">
        <v>0.66</v>
      </c>
      <c r="O880" t="s">
        <v>20</v>
      </c>
    </row>
    <row r="881" spans="1:15" x14ac:dyDescent="0.35">
      <c r="A881" t="s">
        <v>915</v>
      </c>
      <c r="B881" t="s">
        <v>22</v>
      </c>
      <c r="C881" t="s">
        <v>23</v>
      </c>
      <c r="D881" t="s">
        <v>35</v>
      </c>
      <c r="E881" s="3">
        <v>24.31</v>
      </c>
      <c r="F881" s="3">
        <v>5.82</v>
      </c>
      <c r="G881" s="3">
        <v>19.2</v>
      </c>
      <c r="H881" s="4">
        <v>161.63</v>
      </c>
      <c r="I881" s="3">
        <v>86.79</v>
      </c>
      <c r="J881" t="s">
        <v>37</v>
      </c>
      <c r="K881" s="4">
        <v>5.5646199999999997</v>
      </c>
      <c r="L881" s="6" cm="1">
        <f t="array" ref="L881">_xlfn.PERCENTILE.INC(_xlfn._xlws.FILTER(tabla_base[Rendimiento_por_hectarea_ton], tabla_base[tipo_cultivo]=tabla_base[[#This Row],[tipo_cultivo]]), 0.75)</f>
        <v>5.1318025</v>
      </c>
      <c r="M881" s="7" t="str">
        <f>IF(tabla_base[[#This Row],[Rendimiento_por_hectarea_ton]]&gt;tabla_base[[#This Row],[percentil_0,75]],"Sí","No")</f>
        <v>Sí</v>
      </c>
      <c r="N881" s="3">
        <v>0.7</v>
      </c>
      <c r="O881" t="s">
        <v>20</v>
      </c>
    </row>
    <row r="882" spans="1:15" x14ac:dyDescent="0.35">
      <c r="A882" t="s">
        <v>916</v>
      </c>
      <c r="B882" t="s">
        <v>22</v>
      </c>
      <c r="C882" t="s">
        <v>23</v>
      </c>
      <c r="D882" t="s">
        <v>18</v>
      </c>
      <c r="E882" s="3">
        <v>23.13</v>
      </c>
      <c r="F882" s="3">
        <v>6.77</v>
      </c>
      <c r="G882" s="3">
        <v>24.29</v>
      </c>
      <c r="H882" s="4">
        <v>177.95</v>
      </c>
      <c r="I882" s="3">
        <v>77.290000000000006</v>
      </c>
      <c r="J882" t="s">
        <v>28</v>
      </c>
      <c r="K882" s="4">
        <v>5.8584199999999997</v>
      </c>
      <c r="L882" s="6" cm="1">
        <f t="array" ref="L882">_xlfn.PERCENTILE.INC(_xlfn._xlws.FILTER(tabla_base[Rendimiento_por_hectarea_ton], tabla_base[tipo_cultivo]=tabla_base[[#This Row],[tipo_cultivo]]), 0.75)</f>
        <v>5.2079399999999998</v>
      </c>
      <c r="M882" s="7" t="str">
        <f>IF(tabla_base[[#This Row],[Rendimiento_por_hectarea_ton]]&gt;tabla_base[[#This Row],[percentil_0,75]],"Sí","No")</f>
        <v>Sí</v>
      </c>
      <c r="N882" s="3">
        <v>0.84</v>
      </c>
      <c r="O882" t="s">
        <v>26</v>
      </c>
    </row>
    <row r="883" spans="1:15" x14ac:dyDescent="0.35">
      <c r="A883" t="s">
        <v>917</v>
      </c>
      <c r="B883" t="s">
        <v>16</v>
      </c>
      <c r="C883" t="s">
        <v>17</v>
      </c>
      <c r="D883" t="s">
        <v>35</v>
      </c>
      <c r="E883" s="3">
        <v>36.22</v>
      </c>
      <c r="F883" s="3">
        <v>5.65</v>
      </c>
      <c r="G883" s="3">
        <v>24.01</v>
      </c>
      <c r="H883" s="4">
        <v>162.84</v>
      </c>
      <c r="I883" s="3">
        <v>65.849999999999994</v>
      </c>
      <c r="J883" t="s">
        <v>37</v>
      </c>
      <c r="K883" s="4">
        <v>5.6849800000000004</v>
      </c>
      <c r="L883" s="6" cm="1">
        <f t="array" ref="L883">_xlfn.PERCENTILE.INC(_xlfn._xlws.FILTER(tabla_base[Rendimiento_por_hectarea_ton], tabla_base[tipo_cultivo]=tabla_base[[#This Row],[tipo_cultivo]]), 0.75)</f>
        <v>5.1318025</v>
      </c>
      <c r="M883" s="7" t="str">
        <f>IF(tabla_base[[#This Row],[Rendimiento_por_hectarea_ton]]&gt;tabla_base[[#This Row],[percentil_0,75]],"Sí","No")</f>
        <v>Sí</v>
      </c>
      <c r="N883" s="3">
        <v>0.52</v>
      </c>
      <c r="O883" t="s">
        <v>19</v>
      </c>
    </row>
    <row r="884" spans="1:15" x14ac:dyDescent="0.35">
      <c r="A884" t="s">
        <v>918</v>
      </c>
      <c r="B884" t="s">
        <v>22</v>
      </c>
      <c r="C884" t="s">
        <v>30</v>
      </c>
      <c r="D884" t="s">
        <v>18</v>
      </c>
      <c r="E884" s="3">
        <v>26.84</v>
      </c>
      <c r="F884" s="3">
        <v>5.71</v>
      </c>
      <c r="G884" s="3">
        <v>22.4</v>
      </c>
      <c r="H884" s="4">
        <v>208.37</v>
      </c>
      <c r="I884" s="3">
        <v>87.51</v>
      </c>
      <c r="J884" t="s">
        <v>28</v>
      </c>
      <c r="K884" s="4">
        <v>5.7936500000000004</v>
      </c>
      <c r="L884" s="6" cm="1">
        <f t="array" ref="L884">_xlfn.PERCENTILE.INC(_xlfn._xlws.FILTER(tabla_base[Rendimiento_por_hectarea_ton], tabla_base[tipo_cultivo]=tabla_base[[#This Row],[tipo_cultivo]]), 0.75)</f>
        <v>5.2079399999999998</v>
      </c>
      <c r="M884" s="7" t="str">
        <f>IF(tabla_base[[#This Row],[Rendimiento_por_hectarea_ton]]&gt;tabla_base[[#This Row],[percentil_0,75]],"Sí","No")</f>
        <v>Sí</v>
      </c>
      <c r="N884" s="3">
        <v>0.8</v>
      </c>
      <c r="O884" t="s">
        <v>26</v>
      </c>
    </row>
    <row r="885" spans="1:15" x14ac:dyDescent="0.35">
      <c r="A885" t="s">
        <v>919</v>
      </c>
      <c r="B885" t="s">
        <v>22</v>
      </c>
      <c r="C885" t="s">
        <v>23</v>
      </c>
      <c r="D885" t="s">
        <v>31</v>
      </c>
      <c r="E885" s="3">
        <v>35.64</v>
      </c>
      <c r="F885" s="3">
        <v>7.03</v>
      </c>
      <c r="G885" s="3">
        <v>22.94</v>
      </c>
      <c r="H885" s="4">
        <v>98.22</v>
      </c>
      <c r="I885" s="3">
        <v>51.33</v>
      </c>
      <c r="J885" t="s">
        <v>25</v>
      </c>
      <c r="K885" s="4">
        <v>2.5837300000000001</v>
      </c>
      <c r="L885" s="6" cm="1">
        <f t="array" ref="L885">_xlfn.PERCENTILE.INC(_xlfn._xlws.FILTER(tabla_base[Rendimiento_por_hectarea_ton], tabla_base[tipo_cultivo]=tabla_base[[#This Row],[tipo_cultivo]]), 0.75)</f>
        <v>5.1742550000000005</v>
      </c>
      <c r="M885" s="7" t="str">
        <f>IF(tabla_base[[#This Row],[Rendimiento_por_hectarea_ton]]&gt;tabla_base[[#This Row],[percentil_0,75]],"Sí","No")</f>
        <v>No</v>
      </c>
      <c r="N885" s="3">
        <v>0.76</v>
      </c>
      <c r="O885" t="s">
        <v>26</v>
      </c>
    </row>
    <row r="886" spans="1:15" x14ac:dyDescent="0.35">
      <c r="A886" t="s">
        <v>920</v>
      </c>
      <c r="B886" t="s">
        <v>16</v>
      </c>
      <c r="C886" t="s">
        <v>23</v>
      </c>
      <c r="D886" t="s">
        <v>33</v>
      </c>
      <c r="E886" s="3">
        <v>29.92</v>
      </c>
      <c r="F886" s="3">
        <v>6.6</v>
      </c>
      <c r="G886" s="3">
        <v>32.72</v>
      </c>
      <c r="H886" s="4">
        <v>216.24</v>
      </c>
      <c r="I886" s="3">
        <v>78.78</v>
      </c>
      <c r="J886" t="s">
        <v>28</v>
      </c>
      <c r="K886" s="4">
        <v>5.2423400000000004</v>
      </c>
      <c r="L886" s="6" cm="1">
        <f t="array" ref="L886">_xlfn.PERCENTILE.INC(_xlfn._xlws.FILTER(tabla_base[Rendimiento_por_hectarea_ton], tabla_base[tipo_cultivo]=tabla_base[[#This Row],[tipo_cultivo]]), 0.75)</f>
        <v>5.1635450000000001</v>
      </c>
      <c r="M886" s="7" t="str">
        <f>IF(tabla_base[[#This Row],[Rendimiento_por_hectarea_ton]]&gt;tabla_base[[#This Row],[percentil_0,75]],"Sí","No")</f>
        <v>Sí</v>
      </c>
      <c r="N886" s="3">
        <v>0.83</v>
      </c>
      <c r="O886" t="s">
        <v>26</v>
      </c>
    </row>
    <row r="887" spans="1:15" x14ac:dyDescent="0.35">
      <c r="A887" t="s">
        <v>921</v>
      </c>
      <c r="B887" t="s">
        <v>22</v>
      </c>
      <c r="C887" t="s">
        <v>30</v>
      </c>
      <c r="D887" t="s">
        <v>18</v>
      </c>
      <c r="E887" s="3">
        <v>30.08</v>
      </c>
      <c r="F887" s="3">
        <v>5.91</v>
      </c>
      <c r="G887" s="3">
        <v>23.65</v>
      </c>
      <c r="H887" s="4">
        <v>99.59</v>
      </c>
      <c r="I887" s="3">
        <v>62.79</v>
      </c>
      <c r="J887" t="s">
        <v>37</v>
      </c>
      <c r="K887" s="4">
        <v>6.0501899999999997</v>
      </c>
      <c r="L887" s="6" cm="1">
        <f t="array" ref="L887">_xlfn.PERCENTILE.INC(_xlfn._xlws.FILTER(tabla_base[Rendimiento_por_hectarea_ton], tabla_base[tipo_cultivo]=tabla_base[[#This Row],[tipo_cultivo]]), 0.75)</f>
        <v>5.2079399999999998</v>
      </c>
      <c r="M887" s="7" t="str">
        <f>IF(tabla_base[[#This Row],[Rendimiento_por_hectarea_ton]]&gt;tabla_base[[#This Row],[percentil_0,75]],"Sí","No")</f>
        <v>Sí</v>
      </c>
      <c r="N887" s="3">
        <v>0.89</v>
      </c>
      <c r="O887" t="s">
        <v>20</v>
      </c>
    </row>
    <row r="888" spans="1:15" x14ac:dyDescent="0.35">
      <c r="A888" t="s">
        <v>922</v>
      </c>
      <c r="B888" t="s">
        <v>16</v>
      </c>
      <c r="C888" t="s">
        <v>17</v>
      </c>
      <c r="D888" t="s">
        <v>31</v>
      </c>
      <c r="E888" s="3">
        <v>23.72</v>
      </c>
      <c r="F888" s="3">
        <v>5.74</v>
      </c>
      <c r="G888" s="3">
        <v>17.32</v>
      </c>
      <c r="H888" s="4">
        <v>125.92</v>
      </c>
      <c r="I888" s="3">
        <v>80.510000000000005</v>
      </c>
      <c r="J888" t="s">
        <v>37</v>
      </c>
      <c r="K888" s="4">
        <v>4.2911200000000003</v>
      </c>
      <c r="L888" s="6" cm="1">
        <f t="array" ref="L888">_xlfn.PERCENTILE.INC(_xlfn._xlws.FILTER(tabla_base[Rendimiento_por_hectarea_ton], tabla_base[tipo_cultivo]=tabla_base[[#This Row],[tipo_cultivo]]), 0.75)</f>
        <v>5.1742550000000005</v>
      </c>
      <c r="M888" s="7" t="str">
        <f>IF(tabla_base[[#This Row],[Rendimiento_por_hectarea_ton]]&gt;tabla_base[[#This Row],[percentil_0,75]],"Sí","No")</f>
        <v>No</v>
      </c>
      <c r="N888" s="3">
        <v>0.51</v>
      </c>
      <c r="O888" t="s">
        <v>26</v>
      </c>
    </row>
    <row r="889" spans="1:15" x14ac:dyDescent="0.35">
      <c r="A889" t="s">
        <v>923</v>
      </c>
      <c r="B889" t="s">
        <v>16</v>
      </c>
      <c r="C889" t="s">
        <v>17</v>
      </c>
      <c r="D889" t="s">
        <v>18</v>
      </c>
      <c r="E889" s="3">
        <v>31.73</v>
      </c>
      <c r="F889" s="3">
        <v>6.81</v>
      </c>
      <c r="G889" s="3">
        <v>21.22</v>
      </c>
      <c r="H889" s="4">
        <v>230.87</v>
      </c>
      <c r="I889" s="3">
        <v>65.98</v>
      </c>
      <c r="J889" t="s">
        <v>28</v>
      </c>
      <c r="K889" s="4">
        <v>4.0347499999999998</v>
      </c>
      <c r="L889" s="6" cm="1">
        <f t="array" ref="L889">_xlfn.PERCENTILE.INC(_xlfn._xlws.FILTER(tabla_base[Rendimiento_por_hectarea_ton], tabla_base[tipo_cultivo]=tabla_base[[#This Row],[tipo_cultivo]]), 0.75)</f>
        <v>5.2079399999999998</v>
      </c>
      <c r="M889" s="7" t="str">
        <f>IF(tabla_base[[#This Row],[Rendimiento_por_hectarea_ton]]&gt;tabla_base[[#This Row],[percentil_0,75]],"Sí","No")</f>
        <v>No</v>
      </c>
      <c r="N889" s="3">
        <v>0.87</v>
      </c>
      <c r="O889" t="s">
        <v>20</v>
      </c>
    </row>
    <row r="890" spans="1:15" x14ac:dyDescent="0.35">
      <c r="A890" t="s">
        <v>924</v>
      </c>
      <c r="B890" t="s">
        <v>544</v>
      </c>
      <c r="C890" t="s">
        <v>23</v>
      </c>
      <c r="D890" t="s">
        <v>18</v>
      </c>
      <c r="E890" s="3">
        <v>37.42</v>
      </c>
      <c r="F890" s="3">
        <v>6.13</v>
      </c>
      <c r="G890" s="3">
        <v>24.44</v>
      </c>
      <c r="H890" s="4">
        <v>119.77</v>
      </c>
      <c r="I890" s="3">
        <v>86.8</v>
      </c>
      <c r="J890" t="s">
        <v>25</v>
      </c>
      <c r="K890" s="4">
        <v>2.6056400000000002</v>
      </c>
      <c r="L890" s="6" cm="1">
        <f t="array" ref="L890">_xlfn.PERCENTILE.INC(_xlfn._xlws.FILTER(tabla_base[Rendimiento_por_hectarea_ton], tabla_base[tipo_cultivo]=tabla_base[[#This Row],[tipo_cultivo]]), 0.75)</f>
        <v>5.2079399999999998</v>
      </c>
      <c r="M890" s="7" t="str">
        <f>IF(tabla_base[[#This Row],[Rendimiento_por_hectarea_ton]]&gt;tabla_base[[#This Row],[percentil_0,75]],"Sí","No")</f>
        <v>No</v>
      </c>
      <c r="N890" s="3">
        <v>0.52</v>
      </c>
      <c r="O890" t="s">
        <v>19</v>
      </c>
    </row>
    <row r="891" spans="1:15" x14ac:dyDescent="0.35">
      <c r="A891" t="s">
        <v>925</v>
      </c>
      <c r="B891" t="s">
        <v>22</v>
      </c>
      <c r="C891" t="s">
        <v>17</v>
      </c>
      <c r="D891" t="s">
        <v>547</v>
      </c>
      <c r="E891" s="3">
        <v>24.51</v>
      </c>
      <c r="F891" s="3">
        <v>7.36</v>
      </c>
      <c r="G891" s="3">
        <v>16.93</v>
      </c>
      <c r="H891" s="4">
        <v>260.82</v>
      </c>
      <c r="I891" s="3">
        <v>88.95</v>
      </c>
      <c r="J891" t="s">
        <v>28</v>
      </c>
      <c r="K891" s="4">
        <v>5.6788600000000002</v>
      </c>
      <c r="L891" s="6" cm="1">
        <f t="array" ref="L891">_xlfn.PERCENTILE.INC(_xlfn._xlws.FILTER(tabla_base[Rendimiento_por_hectarea_ton], tabla_base[tipo_cultivo]=tabla_base[[#This Row],[tipo_cultivo]]), 0.75)</f>
        <v>5.2323700000000004</v>
      </c>
      <c r="M891" s="7" t="str">
        <f>IF(tabla_base[[#This Row],[Rendimiento_por_hectarea_ton]]&gt;tabla_base[[#This Row],[percentil_0,75]],"Sí","No")</f>
        <v>Sí</v>
      </c>
      <c r="N891" s="3">
        <v>0.56000000000000005</v>
      </c>
      <c r="O891" t="s">
        <v>20</v>
      </c>
    </row>
    <row r="892" spans="1:15" x14ac:dyDescent="0.35">
      <c r="A892" t="s">
        <v>926</v>
      </c>
      <c r="B892" t="s">
        <v>22</v>
      </c>
      <c r="C892" t="s">
        <v>23</v>
      </c>
      <c r="D892" t="s">
        <v>31</v>
      </c>
      <c r="E892" s="3">
        <v>33.72</v>
      </c>
      <c r="F892" s="3">
        <v>5.55</v>
      </c>
      <c r="G892" s="3">
        <v>30.57</v>
      </c>
      <c r="H892" s="4">
        <v>292.66000000000003</v>
      </c>
      <c r="I892" s="3">
        <v>50.79</v>
      </c>
      <c r="J892" t="s">
        <v>19</v>
      </c>
      <c r="K892" s="4">
        <v>6.4060499999999996</v>
      </c>
      <c r="L892" s="6" cm="1">
        <f t="array" ref="L892">_xlfn.PERCENTILE.INC(_xlfn._xlws.FILTER(tabla_base[Rendimiento_por_hectarea_ton], tabla_base[tipo_cultivo]=tabla_base[[#This Row],[tipo_cultivo]]), 0.75)</f>
        <v>5.1742550000000005</v>
      </c>
      <c r="M892" s="7" t="str">
        <f>IF(tabla_base[[#This Row],[Rendimiento_por_hectarea_ton]]&gt;tabla_base[[#This Row],[percentil_0,75]],"Sí","No")</f>
        <v>Sí</v>
      </c>
      <c r="N892" s="3">
        <v>0.81</v>
      </c>
      <c r="O892" t="s">
        <v>19</v>
      </c>
    </row>
    <row r="893" spans="1:15" x14ac:dyDescent="0.35">
      <c r="A893" t="s">
        <v>927</v>
      </c>
      <c r="B893" t="s">
        <v>16</v>
      </c>
      <c r="C893" t="s">
        <v>17</v>
      </c>
      <c r="D893" t="s">
        <v>547</v>
      </c>
      <c r="E893" s="3">
        <v>28.63</v>
      </c>
      <c r="F893" s="3">
        <v>7.21</v>
      </c>
      <c r="G893" s="3">
        <v>15.16</v>
      </c>
      <c r="H893" s="4">
        <v>291.66000000000003</v>
      </c>
      <c r="I893" s="3">
        <v>79.37</v>
      </c>
      <c r="J893" t="s">
        <v>25</v>
      </c>
      <c r="K893" s="4">
        <v>4.0069900000000001</v>
      </c>
      <c r="L893" s="6" cm="1">
        <f t="array" ref="L893">_xlfn.PERCENTILE.INC(_xlfn._xlws.FILTER(tabla_base[Rendimiento_por_hectarea_ton], tabla_base[tipo_cultivo]=tabla_base[[#This Row],[tipo_cultivo]]), 0.75)</f>
        <v>5.2323700000000004</v>
      </c>
      <c r="M893" s="7" t="str">
        <f>IF(tabla_base[[#This Row],[Rendimiento_por_hectarea_ton]]&gt;tabla_base[[#This Row],[percentil_0,75]],"Sí","No")</f>
        <v>No</v>
      </c>
      <c r="N893" s="3">
        <v>0.61</v>
      </c>
      <c r="O893" t="s">
        <v>26</v>
      </c>
    </row>
    <row r="894" spans="1:15" x14ac:dyDescent="0.35">
      <c r="A894" t="s">
        <v>928</v>
      </c>
      <c r="B894" t="s">
        <v>22</v>
      </c>
      <c r="C894" t="s">
        <v>23</v>
      </c>
      <c r="D894" t="s">
        <v>18</v>
      </c>
      <c r="E894" s="3">
        <v>18.23</v>
      </c>
      <c r="F894" s="3">
        <v>6.93</v>
      </c>
      <c r="G894" s="3">
        <v>32.479999999999997</v>
      </c>
      <c r="H894" s="4">
        <v>224.03</v>
      </c>
      <c r="I894" s="3">
        <v>56.28</v>
      </c>
      <c r="J894" t="s">
        <v>19</v>
      </c>
      <c r="K894" s="4">
        <v>3.9418099999999998</v>
      </c>
      <c r="L894" s="6" cm="1">
        <f t="array" ref="L894">_xlfn.PERCENTILE.INC(_xlfn._xlws.FILTER(tabla_base[Rendimiento_por_hectarea_ton], tabla_base[tipo_cultivo]=tabla_base[[#This Row],[tipo_cultivo]]), 0.75)</f>
        <v>5.2079399999999998</v>
      </c>
      <c r="M894" s="7" t="str">
        <f>IF(tabla_base[[#This Row],[Rendimiento_por_hectarea_ton]]&gt;tabla_base[[#This Row],[percentil_0,75]],"Sí","No")</f>
        <v>No</v>
      </c>
      <c r="N894" s="3">
        <v>0.63</v>
      </c>
      <c r="O894" t="s">
        <v>20</v>
      </c>
    </row>
    <row r="895" spans="1:15" x14ac:dyDescent="0.35">
      <c r="A895" t="s">
        <v>929</v>
      </c>
      <c r="B895" t="s">
        <v>22</v>
      </c>
      <c r="C895" t="s">
        <v>30</v>
      </c>
      <c r="D895" t="s">
        <v>35</v>
      </c>
      <c r="E895" s="3">
        <v>21.76</v>
      </c>
      <c r="F895" s="3">
        <v>6.85</v>
      </c>
      <c r="G895" s="3">
        <v>25.84</v>
      </c>
      <c r="H895" s="4">
        <v>295.93</v>
      </c>
      <c r="I895" s="3">
        <v>81.540000000000006</v>
      </c>
      <c r="J895" t="s">
        <v>25</v>
      </c>
      <c r="K895" s="4">
        <v>3.6856599999999999</v>
      </c>
      <c r="L895" s="6" cm="1">
        <f t="array" ref="L895">_xlfn.PERCENTILE.INC(_xlfn._xlws.FILTER(tabla_base[Rendimiento_por_hectarea_ton], tabla_base[tipo_cultivo]=tabla_base[[#This Row],[tipo_cultivo]]), 0.75)</f>
        <v>5.1318025</v>
      </c>
      <c r="M895" s="7" t="str">
        <f>IF(tabla_base[[#This Row],[Rendimiento_por_hectarea_ton]]&gt;tabla_base[[#This Row],[percentil_0,75]],"Sí","No")</f>
        <v>No</v>
      </c>
      <c r="N895" s="3">
        <v>0.82</v>
      </c>
      <c r="O895" t="s">
        <v>19</v>
      </c>
    </row>
    <row r="896" spans="1:15" x14ac:dyDescent="0.35">
      <c r="A896" t="s">
        <v>930</v>
      </c>
      <c r="B896" t="s">
        <v>16</v>
      </c>
      <c r="C896" t="s">
        <v>17</v>
      </c>
      <c r="D896" t="s">
        <v>33</v>
      </c>
      <c r="E896" s="3">
        <v>36.83</v>
      </c>
      <c r="F896" s="3">
        <v>6.16</v>
      </c>
      <c r="G896" s="3">
        <v>24.91</v>
      </c>
      <c r="H896" s="4">
        <v>100.62</v>
      </c>
      <c r="I896" s="3">
        <v>83.42</v>
      </c>
      <c r="J896" t="s">
        <v>37</v>
      </c>
      <c r="K896" s="4">
        <v>4.5457200000000002</v>
      </c>
      <c r="L896" s="6" cm="1">
        <f t="array" ref="L896">_xlfn.PERCENTILE.INC(_xlfn._xlws.FILTER(tabla_base[Rendimiento_por_hectarea_ton], tabla_base[tipo_cultivo]=tabla_base[[#This Row],[tipo_cultivo]]), 0.75)</f>
        <v>5.1635450000000001</v>
      </c>
      <c r="M896" s="7" t="str">
        <f>IF(tabla_base[[#This Row],[Rendimiento_por_hectarea_ton]]&gt;tabla_base[[#This Row],[percentil_0,75]],"Sí","No")</f>
        <v>No</v>
      </c>
      <c r="N896" s="3">
        <v>0.77</v>
      </c>
      <c r="O896" t="s">
        <v>26</v>
      </c>
    </row>
    <row r="897" spans="1:15" x14ac:dyDescent="0.35">
      <c r="A897" t="s">
        <v>931</v>
      </c>
      <c r="B897" t="s">
        <v>22</v>
      </c>
      <c r="C897" t="s">
        <v>23</v>
      </c>
      <c r="D897" t="s">
        <v>35</v>
      </c>
      <c r="E897" s="3">
        <v>35.5</v>
      </c>
      <c r="F897" s="3">
        <v>6.9</v>
      </c>
      <c r="G897" s="3">
        <v>23.67</v>
      </c>
      <c r="H897" s="4">
        <v>264.95999999999998</v>
      </c>
      <c r="I897" s="3">
        <v>53.8</v>
      </c>
      <c r="J897" t="s">
        <v>25</v>
      </c>
      <c r="K897" s="4">
        <v>6.2204499999999996</v>
      </c>
      <c r="L897" s="6" cm="1">
        <f t="array" ref="L897">_xlfn.PERCENTILE.INC(_xlfn._xlws.FILTER(tabla_base[Rendimiento_por_hectarea_ton], tabla_base[tipo_cultivo]=tabla_base[[#This Row],[tipo_cultivo]]), 0.75)</f>
        <v>5.1318025</v>
      </c>
      <c r="M897" s="7" t="str">
        <f>IF(tabla_base[[#This Row],[Rendimiento_por_hectarea_ton]]&gt;tabla_base[[#This Row],[percentil_0,75]],"Sí","No")</f>
        <v>Sí</v>
      </c>
      <c r="N897" s="3">
        <v>0.71</v>
      </c>
      <c r="O897" t="s">
        <v>19</v>
      </c>
    </row>
    <row r="898" spans="1:15" x14ac:dyDescent="0.35">
      <c r="A898" t="s">
        <v>932</v>
      </c>
      <c r="B898" t="s">
        <v>22</v>
      </c>
      <c r="C898" t="s">
        <v>23</v>
      </c>
      <c r="D898" t="s">
        <v>35</v>
      </c>
      <c r="E898" s="3">
        <v>29.33</v>
      </c>
      <c r="F898" s="3">
        <v>6.89</v>
      </c>
      <c r="G898" s="3">
        <v>26.92</v>
      </c>
      <c r="H898" s="4">
        <v>299.2</v>
      </c>
      <c r="I898" s="3">
        <v>73.44</v>
      </c>
      <c r="J898" t="s">
        <v>37</v>
      </c>
      <c r="K898" s="4">
        <v>3.35182</v>
      </c>
      <c r="L898" s="6" cm="1">
        <f t="array" ref="L898">_xlfn.PERCENTILE.INC(_xlfn._xlws.FILTER(tabla_base[Rendimiento_por_hectarea_ton], tabla_base[tipo_cultivo]=tabla_base[[#This Row],[tipo_cultivo]]), 0.75)</f>
        <v>5.1318025</v>
      </c>
      <c r="M898" s="7" t="str">
        <f>IF(tabla_base[[#This Row],[Rendimiento_por_hectarea_ton]]&gt;tabla_base[[#This Row],[percentil_0,75]],"Sí","No")</f>
        <v>No</v>
      </c>
      <c r="N898" s="3">
        <v>0.64</v>
      </c>
      <c r="O898" t="s">
        <v>19</v>
      </c>
    </row>
    <row r="899" spans="1:15" x14ac:dyDescent="0.35">
      <c r="A899" t="s">
        <v>933</v>
      </c>
      <c r="B899" t="s">
        <v>22</v>
      </c>
      <c r="C899" t="s">
        <v>23</v>
      </c>
      <c r="D899" t="s">
        <v>33</v>
      </c>
      <c r="E899" s="3">
        <v>15.91</v>
      </c>
      <c r="F899" s="3">
        <v>5.84</v>
      </c>
      <c r="G899" s="3">
        <v>18.309999999999999</v>
      </c>
      <c r="H899" s="4">
        <v>71.3</v>
      </c>
      <c r="I899" s="3">
        <v>55.32</v>
      </c>
      <c r="J899" t="s">
        <v>25</v>
      </c>
      <c r="K899" s="4">
        <v>5.2484099999999998</v>
      </c>
      <c r="L899" s="6" cm="1">
        <f t="array" ref="L899">_xlfn.PERCENTILE.INC(_xlfn._xlws.FILTER(tabla_base[Rendimiento_por_hectarea_ton], tabla_base[tipo_cultivo]=tabla_base[[#This Row],[tipo_cultivo]]), 0.75)</f>
        <v>5.1635450000000001</v>
      </c>
      <c r="M899" s="7" t="str">
        <f>IF(tabla_base[[#This Row],[Rendimiento_por_hectarea_ton]]&gt;tabla_base[[#This Row],[percentil_0,75]],"Sí","No")</f>
        <v>Sí</v>
      </c>
      <c r="N899" s="3">
        <v>0.71</v>
      </c>
      <c r="O899" t="s">
        <v>26</v>
      </c>
    </row>
    <row r="900" spans="1:15" x14ac:dyDescent="0.35">
      <c r="A900" t="s">
        <v>934</v>
      </c>
      <c r="B900" t="s">
        <v>544</v>
      </c>
      <c r="C900" t="s">
        <v>30</v>
      </c>
      <c r="D900" t="s">
        <v>33</v>
      </c>
      <c r="E900" s="3">
        <v>31.02</v>
      </c>
      <c r="F900" s="3">
        <v>6.92</v>
      </c>
      <c r="G900" s="3">
        <v>26.17</v>
      </c>
      <c r="H900" s="4">
        <v>130.94</v>
      </c>
      <c r="I900" s="3">
        <v>83.38</v>
      </c>
      <c r="J900" t="s">
        <v>25</v>
      </c>
      <c r="K900" s="4">
        <v>2.9158499999999998</v>
      </c>
      <c r="L900" s="6" cm="1">
        <f t="array" ref="L900">_xlfn.PERCENTILE.INC(_xlfn._xlws.FILTER(tabla_base[Rendimiento_por_hectarea_ton], tabla_base[tipo_cultivo]=tabla_base[[#This Row],[tipo_cultivo]]), 0.75)</f>
        <v>5.1635450000000001</v>
      </c>
      <c r="M900" s="7" t="str">
        <f>IF(tabla_base[[#This Row],[Rendimiento_por_hectarea_ton]]&gt;tabla_base[[#This Row],[percentil_0,75]],"Sí","No")</f>
        <v>No</v>
      </c>
      <c r="N900" s="3">
        <v>0.89</v>
      </c>
      <c r="O900" t="s">
        <v>26</v>
      </c>
    </row>
    <row r="901" spans="1:15" x14ac:dyDescent="0.35">
      <c r="A901" t="s">
        <v>935</v>
      </c>
      <c r="B901" t="s">
        <v>22</v>
      </c>
      <c r="C901" t="s">
        <v>23</v>
      </c>
      <c r="D901" t="s">
        <v>18</v>
      </c>
      <c r="E901" s="3">
        <v>30.83</v>
      </c>
      <c r="F901" s="3">
        <v>6.48</v>
      </c>
      <c r="G901" s="3">
        <v>28.03</v>
      </c>
      <c r="H901" s="4">
        <v>115.97</v>
      </c>
      <c r="I901" s="3">
        <v>81.3</v>
      </c>
      <c r="J901" t="s">
        <v>25</v>
      </c>
      <c r="K901" s="4">
        <v>5.2079399999999998</v>
      </c>
      <c r="L901" s="6" cm="1">
        <f t="array" ref="L901">_xlfn.PERCENTILE.INC(_xlfn._xlws.FILTER(tabla_base[Rendimiento_por_hectarea_ton], tabla_base[tipo_cultivo]=tabla_base[[#This Row],[tipo_cultivo]]), 0.75)</f>
        <v>5.2079399999999998</v>
      </c>
      <c r="M901" s="7" t="str">
        <f>IF(tabla_base[[#This Row],[Rendimiento_por_hectarea_ton]]&gt;tabla_base[[#This Row],[percentil_0,75]],"Sí","No")</f>
        <v>No</v>
      </c>
      <c r="N901" s="3">
        <v>0.54</v>
      </c>
      <c r="O901" t="s">
        <v>19</v>
      </c>
    </row>
    <row r="902" spans="1:15" x14ac:dyDescent="0.35">
      <c r="A902" t="s">
        <v>936</v>
      </c>
      <c r="B902" t="s">
        <v>16</v>
      </c>
      <c r="C902" t="s">
        <v>23</v>
      </c>
      <c r="D902" t="s">
        <v>31</v>
      </c>
      <c r="E902" s="3">
        <v>33.83</v>
      </c>
      <c r="F902" s="3">
        <v>6.81</v>
      </c>
      <c r="G902" s="3">
        <v>30.31</v>
      </c>
      <c r="H902" s="4">
        <v>270.44</v>
      </c>
      <c r="I902" s="3">
        <v>78.63</v>
      </c>
      <c r="J902" t="s">
        <v>19</v>
      </c>
      <c r="K902" s="4">
        <v>6.1744199999999996</v>
      </c>
      <c r="L902" s="6" cm="1">
        <f t="array" ref="L902">_xlfn.PERCENTILE.INC(_xlfn._xlws.FILTER(tabla_base[Rendimiento_por_hectarea_ton], tabla_base[tipo_cultivo]=tabla_base[[#This Row],[tipo_cultivo]]), 0.75)</f>
        <v>5.1742550000000005</v>
      </c>
      <c r="M902" s="7" t="str">
        <f>IF(tabla_base[[#This Row],[Rendimiento_por_hectarea_ton]]&gt;tabla_base[[#This Row],[percentil_0,75]],"Sí","No")</f>
        <v>Sí</v>
      </c>
      <c r="N902" s="3">
        <v>0.87</v>
      </c>
      <c r="O902" t="s">
        <v>19</v>
      </c>
    </row>
    <row r="903" spans="1:15" x14ac:dyDescent="0.35">
      <c r="A903" t="s">
        <v>937</v>
      </c>
      <c r="B903" t="s">
        <v>544</v>
      </c>
      <c r="C903" t="s">
        <v>23</v>
      </c>
      <c r="D903" t="s">
        <v>31</v>
      </c>
      <c r="E903" s="3">
        <v>35.54</v>
      </c>
      <c r="F903" s="3">
        <v>6.13</v>
      </c>
      <c r="G903" s="3">
        <v>16.32</v>
      </c>
      <c r="H903" s="4">
        <v>60.03</v>
      </c>
      <c r="I903" s="3">
        <v>57.43</v>
      </c>
      <c r="J903" t="s">
        <v>25</v>
      </c>
      <c r="K903" s="4">
        <v>5.6238299999999999</v>
      </c>
      <c r="L903" s="6" cm="1">
        <f t="array" ref="L903">_xlfn.PERCENTILE.INC(_xlfn._xlws.FILTER(tabla_base[Rendimiento_por_hectarea_ton], tabla_base[tipo_cultivo]=tabla_base[[#This Row],[tipo_cultivo]]), 0.75)</f>
        <v>5.1742550000000005</v>
      </c>
      <c r="M903" s="7" t="str">
        <f>IF(tabla_base[[#This Row],[Rendimiento_por_hectarea_ton]]&gt;tabla_base[[#This Row],[percentil_0,75]],"Sí","No")</f>
        <v>Sí</v>
      </c>
      <c r="N903" s="3">
        <v>0.78</v>
      </c>
      <c r="O903" t="s">
        <v>26</v>
      </c>
    </row>
    <row r="904" spans="1:15" x14ac:dyDescent="0.35">
      <c r="A904" t="s">
        <v>938</v>
      </c>
      <c r="B904" t="s">
        <v>22</v>
      </c>
      <c r="C904" t="s">
        <v>40</v>
      </c>
      <c r="D904" t="s">
        <v>31</v>
      </c>
      <c r="E904" s="3">
        <v>27.18</v>
      </c>
      <c r="F904" s="3">
        <v>6.6</v>
      </c>
      <c r="G904" s="3">
        <v>16.87</v>
      </c>
      <c r="H904" s="4">
        <v>267.24</v>
      </c>
      <c r="I904" s="3">
        <v>81.95</v>
      </c>
      <c r="J904" t="s">
        <v>37</v>
      </c>
      <c r="K904" s="4">
        <v>2.6591</v>
      </c>
      <c r="L904" s="6" cm="1">
        <f t="array" ref="L904">_xlfn.PERCENTILE.INC(_xlfn._xlws.FILTER(tabla_base[Rendimiento_por_hectarea_ton], tabla_base[tipo_cultivo]=tabla_base[[#This Row],[tipo_cultivo]]), 0.75)</f>
        <v>5.1742550000000005</v>
      </c>
      <c r="M904" s="7" t="str">
        <f>IF(tabla_base[[#This Row],[Rendimiento_por_hectarea_ton]]&gt;tabla_base[[#This Row],[percentil_0,75]],"Sí","No")</f>
        <v>No</v>
      </c>
      <c r="N904" s="3">
        <v>0.59</v>
      </c>
      <c r="O904" t="s">
        <v>26</v>
      </c>
    </row>
    <row r="905" spans="1:15" x14ac:dyDescent="0.35">
      <c r="A905" t="s">
        <v>939</v>
      </c>
      <c r="B905" t="s">
        <v>22</v>
      </c>
      <c r="C905" t="s">
        <v>17</v>
      </c>
      <c r="D905" t="s">
        <v>35</v>
      </c>
      <c r="E905" s="3">
        <v>28.15</v>
      </c>
      <c r="F905" s="3">
        <v>6.65</v>
      </c>
      <c r="G905" s="3">
        <v>23.64</v>
      </c>
      <c r="H905" s="4">
        <v>90.52</v>
      </c>
      <c r="I905" s="3">
        <v>89.49</v>
      </c>
      <c r="J905" t="s">
        <v>25</v>
      </c>
      <c r="K905" s="4">
        <v>3.3403499999999999</v>
      </c>
      <c r="L905" s="6" cm="1">
        <f t="array" ref="L905">_xlfn.PERCENTILE.INC(_xlfn._xlws.FILTER(tabla_base[Rendimiento_por_hectarea_ton], tabla_base[tipo_cultivo]=tabla_base[[#This Row],[tipo_cultivo]]), 0.75)</f>
        <v>5.1318025</v>
      </c>
      <c r="M905" s="7" t="str">
        <f>IF(tabla_base[[#This Row],[Rendimiento_por_hectarea_ton]]&gt;tabla_base[[#This Row],[percentil_0,75]],"Sí","No")</f>
        <v>No</v>
      </c>
      <c r="N905" s="3">
        <v>0.88</v>
      </c>
      <c r="O905" t="s">
        <v>20</v>
      </c>
    </row>
    <row r="906" spans="1:15" x14ac:dyDescent="0.35">
      <c r="A906" t="s">
        <v>940</v>
      </c>
      <c r="B906" t="s">
        <v>22</v>
      </c>
      <c r="C906" t="s">
        <v>17</v>
      </c>
      <c r="D906" t="s">
        <v>35</v>
      </c>
      <c r="E906" s="3">
        <v>16.55</v>
      </c>
      <c r="F906" s="3">
        <v>7.38</v>
      </c>
      <c r="G906" s="3">
        <v>22.7</v>
      </c>
      <c r="H906" s="4">
        <v>118.42</v>
      </c>
      <c r="I906" s="3">
        <v>78.819999999999993</v>
      </c>
      <c r="J906" t="s">
        <v>19</v>
      </c>
      <c r="K906" s="4">
        <v>5.63544</v>
      </c>
      <c r="L906" s="6" cm="1">
        <f t="array" ref="L906">_xlfn.PERCENTILE.INC(_xlfn._xlws.FILTER(tabla_base[Rendimiento_por_hectarea_ton], tabla_base[tipo_cultivo]=tabla_base[[#This Row],[tipo_cultivo]]), 0.75)</f>
        <v>5.1318025</v>
      </c>
      <c r="M906" s="7" t="str">
        <f>IF(tabla_base[[#This Row],[Rendimiento_por_hectarea_ton]]&gt;tabla_base[[#This Row],[percentil_0,75]],"Sí","No")</f>
        <v>Sí</v>
      </c>
      <c r="N906" s="3">
        <v>0.71</v>
      </c>
      <c r="O906" t="s">
        <v>20</v>
      </c>
    </row>
    <row r="907" spans="1:15" x14ac:dyDescent="0.35">
      <c r="A907" t="s">
        <v>941</v>
      </c>
      <c r="B907" t="s">
        <v>16</v>
      </c>
      <c r="C907" t="s">
        <v>17</v>
      </c>
      <c r="D907" t="s">
        <v>18</v>
      </c>
      <c r="E907" s="3">
        <v>16.670000000000002</v>
      </c>
      <c r="F907" s="3">
        <v>5.72</v>
      </c>
      <c r="G907" s="3">
        <v>33.58</v>
      </c>
      <c r="H907" s="4">
        <v>59.64</v>
      </c>
      <c r="I907" s="3">
        <v>72.849999999999994</v>
      </c>
      <c r="J907" t="s">
        <v>37</v>
      </c>
      <c r="K907" s="4">
        <v>4.2324400000000004</v>
      </c>
      <c r="L907" s="6" cm="1">
        <f t="array" ref="L907">_xlfn.PERCENTILE.INC(_xlfn._xlws.FILTER(tabla_base[Rendimiento_por_hectarea_ton], tabla_base[tipo_cultivo]=tabla_base[[#This Row],[tipo_cultivo]]), 0.75)</f>
        <v>5.2079399999999998</v>
      </c>
      <c r="M907" s="7" t="str">
        <f>IF(tabla_base[[#This Row],[Rendimiento_por_hectarea_ton]]&gt;tabla_base[[#This Row],[percentil_0,75]],"Sí","No")</f>
        <v>No</v>
      </c>
      <c r="N907" s="3">
        <v>0.86</v>
      </c>
      <c r="O907" t="s">
        <v>26</v>
      </c>
    </row>
    <row r="908" spans="1:15" x14ac:dyDescent="0.35">
      <c r="A908" t="s">
        <v>942</v>
      </c>
      <c r="B908" t="s">
        <v>16</v>
      </c>
      <c r="C908" t="s">
        <v>23</v>
      </c>
      <c r="D908" t="s">
        <v>18</v>
      </c>
      <c r="E908" s="3">
        <v>32.25</v>
      </c>
      <c r="F908" s="3">
        <v>6.81</v>
      </c>
      <c r="G908" s="3">
        <v>29.74</v>
      </c>
      <c r="H908" s="4">
        <v>52.95</v>
      </c>
      <c r="I908" s="3">
        <v>57.24</v>
      </c>
      <c r="J908" t="s">
        <v>19</v>
      </c>
      <c r="K908" s="4">
        <v>5.4441300000000004</v>
      </c>
      <c r="L908" s="6" cm="1">
        <f t="array" ref="L908">_xlfn.PERCENTILE.INC(_xlfn._xlws.FILTER(tabla_base[Rendimiento_por_hectarea_ton], tabla_base[tipo_cultivo]=tabla_base[[#This Row],[tipo_cultivo]]), 0.75)</f>
        <v>5.2079399999999998</v>
      </c>
      <c r="M908" s="7" t="str">
        <f>IF(tabla_base[[#This Row],[Rendimiento_por_hectarea_ton]]&gt;tabla_base[[#This Row],[percentil_0,75]],"Sí","No")</f>
        <v>Sí</v>
      </c>
      <c r="N908" s="3">
        <v>0.63</v>
      </c>
      <c r="O908" t="s">
        <v>20</v>
      </c>
    </row>
    <row r="909" spans="1:15" x14ac:dyDescent="0.35">
      <c r="A909" t="s">
        <v>943</v>
      </c>
      <c r="B909" t="s">
        <v>22</v>
      </c>
      <c r="C909" t="s">
        <v>30</v>
      </c>
      <c r="D909" t="s">
        <v>18</v>
      </c>
      <c r="E909" s="3">
        <v>30.2</v>
      </c>
      <c r="F909" s="3">
        <v>7.05</v>
      </c>
      <c r="G909" s="3">
        <v>21.09</v>
      </c>
      <c r="H909" s="4">
        <v>171.81</v>
      </c>
      <c r="I909" s="3">
        <v>82.74</v>
      </c>
      <c r="J909" t="s">
        <v>19</v>
      </c>
      <c r="K909" s="4">
        <v>5.0179400000000003</v>
      </c>
      <c r="L909" s="6" cm="1">
        <f t="array" ref="L909">_xlfn.PERCENTILE.INC(_xlfn._xlws.FILTER(tabla_base[Rendimiento_por_hectarea_ton], tabla_base[tipo_cultivo]=tabla_base[[#This Row],[tipo_cultivo]]), 0.75)</f>
        <v>5.2079399999999998</v>
      </c>
      <c r="M909" s="7" t="str">
        <f>IF(tabla_base[[#This Row],[Rendimiento_por_hectarea_ton]]&gt;tabla_base[[#This Row],[percentil_0,75]],"Sí","No")</f>
        <v>No</v>
      </c>
      <c r="N909" s="3">
        <v>0.54</v>
      </c>
      <c r="O909" t="s">
        <v>19</v>
      </c>
    </row>
    <row r="910" spans="1:15" x14ac:dyDescent="0.35">
      <c r="A910" t="s">
        <v>944</v>
      </c>
      <c r="B910" t="s">
        <v>544</v>
      </c>
      <c r="C910" t="s">
        <v>23</v>
      </c>
      <c r="D910" t="s">
        <v>24</v>
      </c>
      <c r="E910" s="3">
        <v>19.8</v>
      </c>
      <c r="F910" s="3">
        <v>6.32</v>
      </c>
      <c r="G910" s="3">
        <v>21.38</v>
      </c>
      <c r="H910" s="4">
        <v>213.05</v>
      </c>
      <c r="I910" s="3">
        <v>80.069999999999993</v>
      </c>
      <c r="J910" t="s">
        <v>37</v>
      </c>
      <c r="K910" s="4">
        <v>4.8828300000000002</v>
      </c>
      <c r="L910" s="6" cm="1">
        <f t="array" ref="L910">_xlfn.PERCENTILE.INC(_xlfn._xlws.FILTER(tabla_base[Rendimiento_por_hectarea_ton], tabla_base[tipo_cultivo]=tabla_base[[#This Row],[tipo_cultivo]]), 0.75)</f>
        <v>5.3984449999999997</v>
      </c>
      <c r="M910" s="7" t="str">
        <f>IF(tabla_base[[#This Row],[Rendimiento_por_hectarea_ton]]&gt;tabla_base[[#This Row],[percentil_0,75]],"Sí","No")</f>
        <v>No</v>
      </c>
      <c r="N910" s="3">
        <v>0.56000000000000005</v>
      </c>
      <c r="O910" t="s">
        <v>19</v>
      </c>
    </row>
    <row r="911" spans="1:15" x14ac:dyDescent="0.35">
      <c r="A911" t="s">
        <v>945</v>
      </c>
      <c r="B911" t="s">
        <v>22</v>
      </c>
      <c r="C911" t="s">
        <v>40</v>
      </c>
      <c r="D911" t="s">
        <v>547</v>
      </c>
      <c r="E911" s="3">
        <v>36.47</v>
      </c>
      <c r="F911" s="3">
        <v>6.29</v>
      </c>
      <c r="G911" s="3">
        <v>32.33</v>
      </c>
      <c r="H911" s="4">
        <v>192.6</v>
      </c>
      <c r="I911" s="3">
        <v>55.24</v>
      </c>
      <c r="J911" t="s">
        <v>25</v>
      </c>
      <c r="K911" s="4">
        <v>6.03207</v>
      </c>
      <c r="L911" s="6" cm="1">
        <f t="array" ref="L911">_xlfn.PERCENTILE.INC(_xlfn._xlws.FILTER(tabla_base[Rendimiento_por_hectarea_ton], tabla_base[tipo_cultivo]=tabla_base[[#This Row],[tipo_cultivo]]), 0.75)</f>
        <v>5.2323700000000004</v>
      </c>
      <c r="M911" s="7" t="str">
        <f>IF(tabla_base[[#This Row],[Rendimiento_por_hectarea_ton]]&gt;tabla_base[[#This Row],[percentil_0,75]],"Sí","No")</f>
        <v>Sí</v>
      </c>
      <c r="N911" s="3">
        <v>0.55000000000000004</v>
      </c>
      <c r="O911" t="s">
        <v>20</v>
      </c>
    </row>
    <row r="912" spans="1:15" x14ac:dyDescent="0.35">
      <c r="A912" t="s">
        <v>946</v>
      </c>
      <c r="B912" t="s">
        <v>22</v>
      </c>
      <c r="C912" t="s">
        <v>17</v>
      </c>
      <c r="D912" t="s">
        <v>18</v>
      </c>
      <c r="E912" s="3">
        <v>19.36</v>
      </c>
      <c r="F912" s="3">
        <v>6.5</v>
      </c>
      <c r="G912" s="3">
        <v>26.61</v>
      </c>
      <c r="H912" s="4">
        <v>67.66</v>
      </c>
      <c r="I912" s="3">
        <v>77.69</v>
      </c>
      <c r="J912" t="s">
        <v>28</v>
      </c>
      <c r="K912" s="4">
        <v>3.8320099999999999</v>
      </c>
      <c r="L912" s="6" cm="1">
        <f t="array" ref="L912">_xlfn.PERCENTILE.INC(_xlfn._xlws.FILTER(tabla_base[Rendimiento_por_hectarea_ton], tabla_base[tipo_cultivo]=tabla_base[[#This Row],[tipo_cultivo]]), 0.75)</f>
        <v>5.2079399999999998</v>
      </c>
      <c r="M912" s="7" t="str">
        <f>IF(tabla_base[[#This Row],[Rendimiento_por_hectarea_ton]]&gt;tabla_base[[#This Row],[percentil_0,75]],"Sí","No")</f>
        <v>No</v>
      </c>
      <c r="N912" s="3">
        <v>0.6</v>
      </c>
      <c r="O912" t="s">
        <v>26</v>
      </c>
    </row>
    <row r="913" spans="1:15" x14ac:dyDescent="0.35">
      <c r="A913" t="s">
        <v>947</v>
      </c>
      <c r="B913" t="s">
        <v>22</v>
      </c>
      <c r="C913" t="s">
        <v>23</v>
      </c>
      <c r="D913" t="s">
        <v>18</v>
      </c>
      <c r="E913" s="3">
        <v>24.06</v>
      </c>
      <c r="F913" s="3">
        <v>5.84</v>
      </c>
      <c r="G913" s="3">
        <v>25.31</v>
      </c>
      <c r="H913" s="4">
        <v>209.1</v>
      </c>
      <c r="I913" s="3">
        <v>61.31</v>
      </c>
      <c r="J913" t="s">
        <v>19</v>
      </c>
      <c r="K913" s="4">
        <v>2.87107</v>
      </c>
      <c r="L913" s="6" cm="1">
        <f t="array" ref="L913">_xlfn.PERCENTILE.INC(_xlfn._xlws.FILTER(tabla_base[Rendimiento_por_hectarea_ton], tabla_base[tipo_cultivo]=tabla_base[[#This Row],[tipo_cultivo]]), 0.75)</f>
        <v>5.2079399999999998</v>
      </c>
      <c r="M913" s="7" t="str">
        <f>IF(tabla_base[[#This Row],[Rendimiento_por_hectarea_ton]]&gt;tabla_base[[#This Row],[percentil_0,75]],"Sí","No")</f>
        <v>No</v>
      </c>
      <c r="N913" s="3">
        <v>0.79</v>
      </c>
      <c r="O913" t="s">
        <v>20</v>
      </c>
    </row>
    <row r="914" spans="1:15" x14ac:dyDescent="0.35">
      <c r="A914" t="s">
        <v>948</v>
      </c>
      <c r="B914" t="s">
        <v>22</v>
      </c>
      <c r="C914" t="s">
        <v>23</v>
      </c>
      <c r="D914" t="s">
        <v>33</v>
      </c>
      <c r="E914" s="3">
        <v>17.95</v>
      </c>
      <c r="F914" s="3">
        <v>6.19</v>
      </c>
      <c r="G914" s="3">
        <v>17.739999999999998</v>
      </c>
      <c r="H914" s="4">
        <v>209.12</v>
      </c>
      <c r="I914" s="3">
        <v>73.14</v>
      </c>
      <c r="J914" t="s">
        <v>28</v>
      </c>
      <c r="K914" s="4">
        <v>5.0876299999999999</v>
      </c>
      <c r="L914" s="6" cm="1">
        <f t="array" ref="L914">_xlfn.PERCENTILE.INC(_xlfn._xlws.FILTER(tabla_base[Rendimiento_por_hectarea_ton], tabla_base[tipo_cultivo]=tabla_base[[#This Row],[tipo_cultivo]]), 0.75)</f>
        <v>5.1635450000000001</v>
      </c>
      <c r="M914" s="7" t="str">
        <f>IF(tabla_base[[#This Row],[Rendimiento_por_hectarea_ton]]&gt;tabla_base[[#This Row],[percentil_0,75]],"Sí","No")</f>
        <v>No</v>
      </c>
      <c r="N914" s="3">
        <v>0.52</v>
      </c>
      <c r="O914" t="s">
        <v>20</v>
      </c>
    </row>
    <row r="915" spans="1:15" x14ac:dyDescent="0.35">
      <c r="A915" t="s">
        <v>949</v>
      </c>
      <c r="B915" t="s">
        <v>16</v>
      </c>
      <c r="C915" t="s">
        <v>17</v>
      </c>
      <c r="D915" t="s">
        <v>31</v>
      </c>
      <c r="E915" s="3">
        <v>36.43</v>
      </c>
      <c r="F915" s="3">
        <v>5.84</v>
      </c>
      <c r="G915" s="3">
        <v>20.41</v>
      </c>
      <c r="H915" s="4">
        <v>167.25</v>
      </c>
      <c r="I915" s="3">
        <v>51.17</v>
      </c>
      <c r="J915" t="s">
        <v>25</v>
      </c>
      <c r="K915" s="4">
        <v>6.3770600000000002</v>
      </c>
      <c r="L915" s="6" cm="1">
        <f t="array" ref="L915">_xlfn.PERCENTILE.INC(_xlfn._xlws.FILTER(tabla_base[Rendimiento_por_hectarea_ton], tabla_base[tipo_cultivo]=tabla_base[[#This Row],[tipo_cultivo]]), 0.75)</f>
        <v>5.1742550000000005</v>
      </c>
      <c r="M915" s="7" t="str">
        <f>IF(tabla_base[[#This Row],[Rendimiento_por_hectarea_ton]]&gt;tabla_base[[#This Row],[percentil_0,75]],"Sí","No")</f>
        <v>Sí</v>
      </c>
      <c r="N915" s="3">
        <v>0.87</v>
      </c>
      <c r="O915" t="s">
        <v>26</v>
      </c>
    </row>
    <row r="916" spans="1:15" x14ac:dyDescent="0.35">
      <c r="A916" t="s">
        <v>950</v>
      </c>
      <c r="B916" t="s">
        <v>22</v>
      </c>
      <c r="C916" t="s">
        <v>17</v>
      </c>
      <c r="D916" t="s">
        <v>18</v>
      </c>
      <c r="E916" s="3">
        <v>29.44</v>
      </c>
      <c r="F916" s="3">
        <v>6.1</v>
      </c>
      <c r="G916" s="3">
        <v>19.440000000000001</v>
      </c>
      <c r="H916" s="4">
        <v>247.27</v>
      </c>
      <c r="I916" s="3">
        <v>53.32</v>
      </c>
      <c r="J916" t="s">
        <v>25</v>
      </c>
      <c r="K916" s="4">
        <v>6.3701100000000004</v>
      </c>
      <c r="L916" s="6" cm="1">
        <f t="array" ref="L916">_xlfn.PERCENTILE.INC(_xlfn._xlws.FILTER(tabla_base[Rendimiento_por_hectarea_ton], tabla_base[tipo_cultivo]=tabla_base[[#This Row],[tipo_cultivo]]), 0.75)</f>
        <v>5.2079399999999998</v>
      </c>
      <c r="M916" s="7" t="str">
        <f>IF(tabla_base[[#This Row],[Rendimiento_por_hectarea_ton]]&gt;tabla_base[[#This Row],[percentil_0,75]],"Sí","No")</f>
        <v>Sí</v>
      </c>
      <c r="N916" s="3">
        <v>0.57999999999999996</v>
      </c>
      <c r="O916" t="s">
        <v>20</v>
      </c>
    </row>
    <row r="917" spans="1:15" x14ac:dyDescent="0.35">
      <c r="A917" t="s">
        <v>951</v>
      </c>
      <c r="B917" t="s">
        <v>22</v>
      </c>
      <c r="C917" t="s">
        <v>17</v>
      </c>
      <c r="D917" t="s">
        <v>35</v>
      </c>
      <c r="E917" s="3">
        <v>27.52</v>
      </c>
      <c r="F917" s="3">
        <v>6.79</v>
      </c>
      <c r="G917" s="3">
        <v>19.22</v>
      </c>
      <c r="H917" s="4">
        <v>204.12</v>
      </c>
      <c r="I917" s="3">
        <v>74.02</v>
      </c>
      <c r="J917" t="s">
        <v>19</v>
      </c>
      <c r="K917" s="4">
        <v>5.5282799999999996</v>
      </c>
      <c r="L917" s="6" cm="1">
        <f t="array" ref="L917">_xlfn.PERCENTILE.INC(_xlfn._xlws.FILTER(tabla_base[Rendimiento_por_hectarea_ton], tabla_base[tipo_cultivo]=tabla_base[[#This Row],[tipo_cultivo]]), 0.75)</f>
        <v>5.1318025</v>
      </c>
      <c r="M917" s="7" t="str">
        <f>IF(tabla_base[[#This Row],[Rendimiento_por_hectarea_ton]]&gt;tabla_base[[#This Row],[percentil_0,75]],"Sí","No")</f>
        <v>Sí</v>
      </c>
      <c r="N917" s="3">
        <v>0.71</v>
      </c>
      <c r="O917" t="s">
        <v>19</v>
      </c>
    </row>
    <row r="918" spans="1:15" x14ac:dyDescent="0.35">
      <c r="A918" t="s">
        <v>952</v>
      </c>
      <c r="B918" t="s">
        <v>16</v>
      </c>
      <c r="C918" t="s">
        <v>23</v>
      </c>
      <c r="D918" t="s">
        <v>31</v>
      </c>
      <c r="E918" s="3">
        <v>25.01</v>
      </c>
      <c r="F918" s="3">
        <v>5.63</v>
      </c>
      <c r="G918" s="3">
        <v>31.12</v>
      </c>
      <c r="H918" s="4">
        <v>66.53</v>
      </c>
      <c r="I918" s="3">
        <v>63.52</v>
      </c>
      <c r="J918" t="s">
        <v>25</v>
      </c>
      <c r="K918" s="4">
        <v>4.91221</v>
      </c>
      <c r="L918" s="6" cm="1">
        <f t="array" ref="L918">_xlfn.PERCENTILE.INC(_xlfn._xlws.FILTER(tabla_base[Rendimiento_por_hectarea_ton], tabla_base[tipo_cultivo]=tabla_base[[#This Row],[tipo_cultivo]]), 0.75)</f>
        <v>5.1742550000000005</v>
      </c>
      <c r="M918" s="7" t="str">
        <f>IF(tabla_base[[#This Row],[Rendimiento_por_hectarea_ton]]&gt;tabla_base[[#This Row],[percentil_0,75]],"Sí","No")</f>
        <v>No</v>
      </c>
      <c r="N918" s="3">
        <v>0.69</v>
      </c>
      <c r="O918" t="s">
        <v>19</v>
      </c>
    </row>
    <row r="919" spans="1:15" x14ac:dyDescent="0.35">
      <c r="A919" t="s">
        <v>953</v>
      </c>
      <c r="B919" t="s">
        <v>544</v>
      </c>
      <c r="C919" t="s">
        <v>30</v>
      </c>
      <c r="D919" t="s">
        <v>547</v>
      </c>
      <c r="E919" s="3">
        <v>22.5</v>
      </c>
      <c r="F919" s="3">
        <v>6.42</v>
      </c>
      <c r="G919" s="3">
        <v>21.01</v>
      </c>
      <c r="H919" s="4">
        <v>227.55</v>
      </c>
      <c r="I919" s="3">
        <v>82.44</v>
      </c>
      <c r="J919" t="s">
        <v>28</v>
      </c>
      <c r="K919" s="4">
        <v>4.16629</v>
      </c>
      <c r="L919" s="6" cm="1">
        <f t="array" ref="L919">_xlfn.PERCENTILE.INC(_xlfn._xlws.FILTER(tabla_base[Rendimiento_por_hectarea_ton], tabla_base[tipo_cultivo]=tabla_base[[#This Row],[tipo_cultivo]]), 0.75)</f>
        <v>5.2323700000000004</v>
      </c>
      <c r="M919" s="7" t="str">
        <f>IF(tabla_base[[#This Row],[Rendimiento_por_hectarea_ton]]&gt;tabla_base[[#This Row],[percentil_0,75]],"Sí","No")</f>
        <v>No</v>
      </c>
      <c r="N919" s="3">
        <v>0.89</v>
      </c>
      <c r="O919" t="s">
        <v>26</v>
      </c>
    </row>
    <row r="920" spans="1:15" x14ac:dyDescent="0.35">
      <c r="A920" t="s">
        <v>954</v>
      </c>
      <c r="B920" t="s">
        <v>22</v>
      </c>
      <c r="C920" t="s">
        <v>23</v>
      </c>
      <c r="D920" t="s">
        <v>18</v>
      </c>
      <c r="E920" s="3">
        <v>33.590000000000003</v>
      </c>
      <c r="F920" s="3">
        <v>7.37</v>
      </c>
      <c r="G920" s="3">
        <v>29.85</v>
      </c>
      <c r="H920" s="4">
        <v>194.56</v>
      </c>
      <c r="I920" s="3">
        <v>71.55</v>
      </c>
      <c r="J920" t="s">
        <v>37</v>
      </c>
      <c r="K920" s="4">
        <v>6.2998200000000004</v>
      </c>
      <c r="L920" s="6" cm="1">
        <f t="array" ref="L920">_xlfn.PERCENTILE.INC(_xlfn._xlws.FILTER(tabla_base[Rendimiento_por_hectarea_ton], tabla_base[tipo_cultivo]=tabla_base[[#This Row],[tipo_cultivo]]), 0.75)</f>
        <v>5.2079399999999998</v>
      </c>
      <c r="M920" s="7" t="str">
        <f>IF(tabla_base[[#This Row],[Rendimiento_por_hectarea_ton]]&gt;tabla_base[[#This Row],[percentil_0,75]],"Sí","No")</f>
        <v>Sí</v>
      </c>
      <c r="N920" s="3">
        <v>0.84</v>
      </c>
      <c r="O920" t="s">
        <v>19</v>
      </c>
    </row>
    <row r="921" spans="1:15" x14ac:dyDescent="0.35">
      <c r="A921" t="s">
        <v>955</v>
      </c>
      <c r="B921" t="s">
        <v>544</v>
      </c>
      <c r="C921" t="s">
        <v>23</v>
      </c>
      <c r="D921" t="s">
        <v>35</v>
      </c>
      <c r="E921" s="3">
        <v>23.37</v>
      </c>
      <c r="F921" s="3">
        <v>6.57</v>
      </c>
      <c r="G921" s="3">
        <v>31.76</v>
      </c>
      <c r="H921" s="4">
        <v>224.19</v>
      </c>
      <c r="I921" s="3">
        <v>73.52</v>
      </c>
      <c r="J921" t="s">
        <v>37</v>
      </c>
      <c r="K921" s="4">
        <v>2.6300699999999999</v>
      </c>
      <c r="L921" s="6" cm="1">
        <f t="array" ref="L921">_xlfn.PERCENTILE.INC(_xlfn._xlws.FILTER(tabla_base[Rendimiento_por_hectarea_ton], tabla_base[tipo_cultivo]=tabla_base[[#This Row],[tipo_cultivo]]), 0.75)</f>
        <v>5.1318025</v>
      </c>
      <c r="M921" s="7" t="str">
        <f>IF(tabla_base[[#This Row],[Rendimiento_por_hectarea_ton]]&gt;tabla_base[[#This Row],[percentil_0,75]],"Sí","No")</f>
        <v>No</v>
      </c>
      <c r="N921" s="3">
        <v>0.81</v>
      </c>
      <c r="O921" t="s">
        <v>20</v>
      </c>
    </row>
    <row r="922" spans="1:15" x14ac:dyDescent="0.35">
      <c r="A922" t="s">
        <v>956</v>
      </c>
      <c r="B922" t="s">
        <v>22</v>
      </c>
      <c r="C922" t="s">
        <v>30</v>
      </c>
      <c r="D922" t="s">
        <v>24</v>
      </c>
      <c r="E922" s="3">
        <v>15.36</v>
      </c>
      <c r="F922" s="3">
        <v>7.3</v>
      </c>
      <c r="G922" s="3">
        <v>24.01</v>
      </c>
      <c r="H922" s="4">
        <v>88.37</v>
      </c>
      <c r="I922" s="3">
        <v>63.82</v>
      </c>
      <c r="J922" t="s">
        <v>37</v>
      </c>
      <c r="K922" s="4">
        <v>3.84951</v>
      </c>
      <c r="L922" s="6" cm="1">
        <f t="array" ref="L922">_xlfn.PERCENTILE.INC(_xlfn._xlws.FILTER(tabla_base[Rendimiento_por_hectarea_ton], tabla_base[tipo_cultivo]=tabla_base[[#This Row],[tipo_cultivo]]), 0.75)</f>
        <v>5.3984449999999997</v>
      </c>
      <c r="M922" s="7" t="str">
        <f>IF(tabla_base[[#This Row],[Rendimiento_por_hectarea_ton]]&gt;tabla_base[[#This Row],[percentil_0,75]],"Sí","No")</f>
        <v>No</v>
      </c>
      <c r="N922" s="3">
        <v>0.71</v>
      </c>
      <c r="O922" t="s">
        <v>26</v>
      </c>
    </row>
    <row r="923" spans="1:15" x14ac:dyDescent="0.35">
      <c r="A923" t="s">
        <v>957</v>
      </c>
      <c r="B923" t="s">
        <v>22</v>
      </c>
      <c r="C923" t="s">
        <v>30</v>
      </c>
      <c r="D923" t="s">
        <v>18</v>
      </c>
      <c r="E923" s="3">
        <v>32.590000000000003</v>
      </c>
      <c r="F923" s="3">
        <v>5.84</v>
      </c>
      <c r="G923" s="3">
        <v>31.25</v>
      </c>
      <c r="H923" s="4">
        <v>278.12</v>
      </c>
      <c r="I923" s="3">
        <v>55.02</v>
      </c>
      <c r="J923" t="s">
        <v>25</v>
      </c>
      <c r="K923" s="4">
        <v>5.0022700000000002</v>
      </c>
      <c r="L923" s="6" cm="1">
        <f t="array" ref="L923">_xlfn.PERCENTILE.INC(_xlfn._xlws.FILTER(tabla_base[Rendimiento_por_hectarea_ton], tabla_base[tipo_cultivo]=tabla_base[[#This Row],[tipo_cultivo]]), 0.75)</f>
        <v>5.2079399999999998</v>
      </c>
      <c r="M923" s="7" t="str">
        <f>IF(tabla_base[[#This Row],[Rendimiento_por_hectarea_ton]]&gt;tabla_base[[#This Row],[percentil_0,75]],"Sí","No")</f>
        <v>No</v>
      </c>
      <c r="N923" s="3">
        <v>0.51</v>
      </c>
      <c r="O923" t="s">
        <v>26</v>
      </c>
    </row>
    <row r="924" spans="1:15" x14ac:dyDescent="0.35">
      <c r="A924" t="s">
        <v>958</v>
      </c>
      <c r="B924" t="s">
        <v>16</v>
      </c>
      <c r="C924" t="s">
        <v>23</v>
      </c>
      <c r="D924" t="s">
        <v>24</v>
      </c>
      <c r="E924" s="3">
        <v>20.68</v>
      </c>
      <c r="F924" s="3">
        <v>5.58</v>
      </c>
      <c r="G924" s="3">
        <v>31.72</v>
      </c>
      <c r="H924" s="4">
        <v>143.97999999999999</v>
      </c>
      <c r="I924" s="3">
        <v>89.56</v>
      </c>
      <c r="J924" t="s">
        <v>28</v>
      </c>
      <c r="K924" s="4">
        <v>3.4849100000000002</v>
      </c>
      <c r="L924" s="6" cm="1">
        <f t="array" ref="L924">_xlfn.PERCENTILE.INC(_xlfn._xlws.FILTER(tabla_base[Rendimiento_por_hectarea_ton], tabla_base[tipo_cultivo]=tabla_base[[#This Row],[tipo_cultivo]]), 0.75)</f>
        <v>5.3984449999999997</v>
      </c>
      <c r="M924" s="7" t="str">
        <f>IF(tabla_base[[#This Row],[Rendimiento_por_hectarea_ton]]&gt;tabla_base[[#This Row],[percentil_0,75]],"Sí","No")</f>
        <v>No</v>
      </c>
      <c r="N924" s="3">
        <v>0.86</v>
      </c>
      <c r="O924" t="s">
        <v>19</v>
      </c>
    </row>
    <row r="925" spans="1:15" x14ac:dyDescent="0.35">
      <c r="A925" t="s">
        <v>959</v>
      </c>
      <c r="B925" t="s">
        <v>16</v>
      </c>
      <c r="C925" t="s">
        <v>23</v>
      </c>
      <c r="D925" t="s">
        <v>24</v>
      </c>
      <c r="E925" s="3">
        <v>21.78</v>
      </c>
      <c r="F925" s="3">
        <v>6.52</v>
      </c>
      <c r="G925" s="3">
        <v>22.91</v>
      </c>
      <c r="H925" s="4">
        <v>197.98</v>
      </c>
      <c r="I925" s="3">
        <v>75.540000000000006</v>
      </c>
      <c r="J925" t="s">
        <v>28</v>
      </c>
      <c r="K925" s="4">
        <v>3.16282</v>
      </c>
      <c r="L925" s="6" cm="1">
        <f t="array" ref="L925">_xlfn.PERCENTILE.INC(_xlfn._xlws.FILTER(tabla_base[Rendimiento_por_hectarea_ton], tabla_base[tipo_cultivo]=tabla_base[[#This Row],[tipo_cultivo]]), 0.75)</f>
        <v>5.3984449999999997</v>
      </c>
      <c r="M925" s="7" t="str">
        <f>IF(tabla_base[[#This Row],[Rendimiento_por_hectarea_ton]]&gt;tabla_base[[#This Row],[percentil_0,75]],"Sí","No")</f>
        <v>No</v>
      </c>
      <c r="N925" s="3">
        <v>0.69</v>
      </c>
      <c r="O925" t="s">
        <v>20</v>
      </c>
    </row>
    <row r="926" spans="1:15" x14ac:dyDescent="0.35">
      <c r="A926" t="s">
        <v>960</v>
      </c>
      <c r="B926" t="s">
        <v>22</v>
      </c>
      <c r="C926" t="s">
        <v>17</v>
      </c>
      <c r="D926" t="s">
        <v>18</v>
      </c>
      <c r="E926" s="3">
        <v>23.23</v>
      </c>
      <c r="F926" s="3">
        <v>6.94</v>
      </c>
      <c r="G926" s="3">
        <v>33.49</v>
      </c>
      <c r="H926" s="4">
        <v>288.35000000000002</v>
      </c>
      <c r="I926" s="3">
        <v>59.48</v>
      </c>
      <c r="J926" t="s">
        <v>37</v>
      </c>
      <c r="K926" s="4">
        <v>5.82897</v>
      </c>
      <c r="L926" s="6" cm="1">
        <f t="array" ref="L926">_xlfn.PERCENTILE.INC(_xlfn._xlws.FILTER(tabla_base[Rendimiento_por_hectarea_ton], tabla_base[tipo_cultivo]=tabla_base[[#This Row],[tipo_cultivo]]), 0.75)</f>
        <v>5.2079399999999998</v>
      </c>
      <c r="M926" s="7" t="str">
        <f>IF(tabla_base[[#This Row],[Rendimiento_por_hectarea_ton]]&gt;tabla_base[[#This Row],[percentil_0,75]],"Sí","No")</f>
        <v>Sí</v>
      </c>
      <c r="N926" s="3">
        <v>0.53</v>
      </c>
      <c r="O926" t="s">
        <v>20</v>
      </c>
    </row>
    <row r="927" spans="1:15" x14ac:dyDescent="0.35">
      <c r="A927" t="s">
        <v>961</v>
      </c>
      <c r="B927" t="s">
        <v>22</v>
      </c>
      <c r="C927" t="s">
        <v>17</v>
      </c>
      <c r="D927" t="s">
        <v>24</v>
      </c>
      <c r="E927" s="3">
        <v>30.73</v>
      </c>
      <c r="F927" s="3">
        <v>6.87</v>
      </c>
      <c r="G927" s="3">
        <v>31.34</v>
      </c>
      <c r="H927" s="4">
        <v>289.69</v>
      </c>
      <c r="I927" s="3">
        <v>63.18</v>
      </c>
      <c r="J927" t="s">
        <v>37</v>
      </c>
      <c r="K927" s="4">
        <v>4.26302</v>
      </c>
      <c r="L927" s="6" cm="1">
        <f t="array" ref="L927">_xlfn.PERCENTILE.INC(_xlfn._xlws.FILTER(tabla_base[Rendimiento_por_hectarea_ton], tabla_base[tipo_cultivo]=tabla_base[[#This Row],[tipo_cultivo]]), 0.75)</f>
        <v>5.3984449999999997</v>
      </c>
      <c r="M927" s="7" t="str">
        <f>IF(tabla_base[[#This Row],[Rendimiento_por_hectarea_ton]]&gt;tabla_base[[#This Row],[percentil_0,75]],"Sí","No")</f>
        <v>No</v>
      </c>
      <c r="N927" s="3">
        <v>0.8</v>
      </c>
      <c r="O927" t="s">
        <v>19</v>
      </c>
    </row>
    <row r="928" spans="1:15" x14ac:dyDescent="0.35">
      <c r="A928" t="s">
        <v>962</v>
      </c>
      <c r="B928" t="s">
        <v>22</v>
      </c>
      <c r="C928" t="s">
        <v>30</v>
      </c>
      <c r="D928" t="s">
        <v>547</v>
      </c>
      <c r="E928" s="3">
        <v>29.88</v>
      </c>
      <c r="F928" s="3">
        <v>5.92</v>
      </c>
      <c r="G928" s="3">
        <v>23.22</v>
      </c>
      <c r="H928" s="4">
        <v>264.17</v>
      </c>
      <c r="I928" s="3">
        <v>65.52</v>
      </c>
      <c r="J928" t="s">
        <v>19</v>
      </c>
      <c r="K928" s="4">
        <v>5.0684399999999998</v>
      </c>
      <c r="L928" s="6" cm="1">
        <f t="array" ref="L928">_xlfn.PERCENTILE.INC(_xlfn._xlws.FILTER(tabla_base[Rendimiento_por_hectarea_ton], tabla_base[tipo_cultivo]=tabla_base[[#This Row],[tipo_cultivo]]), 0.75)</f>
        <v>5.2323700000000004</v>
      </c>
      <c r="M928" s="7" t="str">
        <f>IF(tabla_base[[#This Row],[Rendimiento_por_hectarea_ton]]&gt;tabla_base[[#This Row],[percentil_0,75]],"Sí","No")</f>
        <v>No</v>
      </c>
      <c r="N928" s="3">
        <v>0.62</v>
      </c>
      <c r="O928" t="s">
        <v>26</v>
      </c>
    </row>
    <row r="929" spans="1:15" x14ac:dyDescent="0.35">
      <c r="A929" t="s">
        <v>963</v>
      </c>
      <c r="B929" t="s">
        <v>16</v>
      </c>
      <c r="C929" t="s">
        <v>30</v>
      </c>
      <c r="D929" t="s">
        <v>31</v>
      </c>
      <c r="E929" s="3">
        <v>37.68</v>
      </c>
      <c r="F929" s="3">
        <v>7.49</v>
      </c>
      <c r="G929" s="3">
        <v>32.950000000000003</v>
      </c>
      <c r="H929" s="4">
        <v>100.25</v>
      </c>
      <c r="I929" s="3">
        <v>86.57</v>
      </c>
      <c r="J929" t="s">
        <v>28</v>
      </c>
      <c r="K929" s="4">
        <v>3.1560000000000001</v>
      </c>
      <c r="L929" s="6" cm="1">
        <f t="array" ref="L929">_xlfn.PERCENTILE.INC(_xlfn._xlws.FILTER(tabla_base[Rendimiento_por_hectarea_ton], tabla_base[tipo_cultivo]=tabla_base[[#This Row],[tipo_cultivo]]), 0.75)</f>
        <v>5.1742550000000005</v>
      </c>
      <c r="M929" s="7" t="str">
        <f>IF(tabla_base[[#This Row],[Rendimiento_por_hectarea_ton]]&gt;tabla_base[[#This Row],[percentil_0,75]],"Sí","No")</f>
        <v>No</v>
      </c>
      <c r="N929" s="3">
        <v>0.9</v>
      </c>
      <c r="O929" t="s">
        <v>19</v>
      </c>
    </row>
    <row r="930" spans="1:15" x14ac:dyDescent="0.35">
      <c r="A930" t="s">
        <v>964</v>
      </c>
      <c r="B930" t="s">
        <v>22</v>
      </c>
      <c r="C930" t="s">
        <v>23</v>
      </c>
      <c r="D930" t="s">
        <v>31</v>
      </c>
      <c r="E930" s="3">
        <v>37.520000000000003</v>
      </c>
      <c r="F930" s="3">
        <v>7.01</v>
      </c>
      <c r="G930" s="3">
        <v>22.97</v>
      </c>
      <c r="H930" s="4">
        <v>285.19</v>
      </c>
      <c r="I930" s="3">
        <v>88.35</v>
      </c>
      <c r="J930" t="s">
        <v>25</v>
      </c>
      <c r="K930" s="4">
        <v>2.6506500000000002</v>
      </c>
      <c r="L930" s="6" cm="1">
        <f t="array" ref="L930">_xlfn.PERCENTILE.INC(_xlfn._xlws.FILTER(tabla_base[Rendimiento_por_hectarea_ton], tabla_base[tipo_cultivo]=tabla_base[[#This Row],[tipo_cultivo]]), 0.75)</f>
        <v>5.1742550000000005</v>
      </c>
      <c r="M930" s="7" t="str">
        <f>IF(tabla_base[[#This Row],[Rendimiento_por_hectarea_ton]]&gt;tabla_base[[#This Row],[percentil_0,75]],"Sí","No")</f>
        <v>No</v>
      </c>
      <c r="N930" s="3">
        <v>0.84</v>
      </c>
      <c r="O930" t="s">
        <v>26</v>
      </c>
    </row>
    <row r="931" spans="1:15" x14ac:dyDescent="0.35">
      <c r="A931" t="s">
        <v>965</v>
      </c>
      <c r="B931" t="s">
        <v>16</v>
      </c>
      <c r="C931" t="s">
        <v>23</v>
      </c>
      <c r="D931" t="s">
        <v>547</v>
      </c>
      <c r="E931" s="3">
        <v>35.86</v>
      </c>
      <c r="F931" s="3">
        <v>5.64</v>
      </c>
      <c r="G931" s="3">
        <v>33.020000000000003</v>
      </c>
      <c r="H931" s="4">
        <v>109.91</v>
      </c>
      <c r="I931" s="3">
        <v>64.98</v>
      </c>
      <c r="J931" t="s">
        <v>19</v>
      </c>
      <c r="K931" s="4">
        <v>3.9566699999999999</v>
      </c>
      <c r="L931" s="6" cm="1">
        <f t="array" ref="L931">_xlfn.PERCENTILE.INC(_xlfn._xlws.FILTER(tabla_base[Rendimiento_por_hectarea_ton], tabla_base[tipo_cultivo]=tabla_base[[#This Row],[tipo_cultivo]]), 0.75)</f>
        <v>5.2323700000000004</v>
      </c>
      <c r="M931" s="7" t="str">
        <f>IF(tabla_base[[#This Row],[Rendimiento_por_hectarea_ton]]&gt;tabla_base[[#This Row],[percentil_0,75]],"Sí","No")</f>
        <v>No</v>
      </c>
      <c r="N931" s="3">
        <v>0.67</v>
      </c>
      <c r="O931" t="s">
        <v>19</v>
      </c>
    </row>
    <row r="932" spans="1:15" x14ac:dyDescent="0.35">
      <c r="A932" t="s">
        <v>966</v>
      </c>
      <c r="B932" t="s">
        <v>544</v>
      </c>
      <c r="C932" t="s">
        <v>23</v>
      </c>
      <c r="D932" t="s">
        <v>18</v>
      </c>
      <c r="E932" s="3">
        <v>30.75</v>
      </c>
      <c r="F932" s="3">
        <v>5.93</v>
      </c>
      <c r="G932" s="3">
        <v>29.51</v>
      </c>
      <c r="H932" s="4">
        <v>164.08</v>
      </c>
      <c r="I932" s="3">
        <v>61.05</v>
      </c>
      <c r="J932" t="s">
        <v>19</v>
      </c>
      <c r="K932" s="4">
        <v>3.5906699999999998</v>
      </c>
      <c r="L932" s="6" cm="1">
        <f t="array" ref="L932">_xlfn.PERCENTILE.INC(_xlfn._xlws.FILTER(tabla_base[Rendimiento_por_hectarea_ton], tabla_base[tipo_cultivo]=tabla_base[[#This Row],[tipo_cultivo]]), 0.75)</f>
        <v>5.2079399999999998</v>
      </c>
      <c r="M932" s="7" t="str">
        <f>IF(tabla_base[[#This Row],[Rendimiento_por_hectarea_ton]]&gt;tabla_base[[#This Row],[percentil_0,75]],"Sí","No")</f>
        <v>No</v>
      </c>
      <c r="N932" s="3">
        <v>0.9</v>
      </c>
      <c r="O932" t="s">
        <v>19</v>
      </c>
    </row>
    <row r="933" spans="1:15" x14ac:dyDescent="0.35">
      <c r="A933" t="s">
        <v>967</v>
      </c>
      <c r="B933" t="s">
        <v>16</v>
      </c>
      <c r="C933" t="s">
        <v>23</v>
      </c>
      <c r="D933" t="s">
        <v>33</v>
      </c>
      <c r="E933" s="3">
        <v>34.46</v>
      </c>
      <c r="F933" s="3">
        <v>7.3</v>
      </c>
      <c r="G933" s="3">
        <v>25</v>
      </c>
      <c r="H933" s="4">
        <v>75.86</v>
      </c>
      <c r="I933" s="3">
        <v>67.66</v>
      </c>
      <c r="J933" t="s">
        <v>37</v>
      </c>
      <c r="K933" s="4">
        <v>6.4566499999999998</v>
      </c>
      <c r="L933" s="6" cm="1">
        <f t="array" ref="L933">_xlfn.PERCENTILE.INC(_xlfn._xlws.FILTER(tabla_base[Rendimiento_por_hectarea_ton], tabla_base[tipo_cultivo]=tabla_base[[#This Row],[tipo_cultivo]]), 0.75)</f>
        <v>5.1635450000000001</v>
      </c>
      <c r="M933" s="7" t="str">
        <f>IF(tabla_base[[#This Row],[Rendimiento_por_hectarea_ton]]&gt;tabla_base[[#This Row],[percentil_0,75]],"Sí","No")</f>
        <v>Sí</v>
      </c>
      <c r="N933" s="3">
        <v>0.56999999999999995</v>
      </c>
      <c r="O933" t="s">
        <v>20</v>
      </c>
    </row>
    <row r="934" spans="1:15" x14ac:dyDescent="0.35">
      <c r="A934" t="s">
        <v>968</v>
      </c>
      <c r="B934" t="s">
        <v>16</v>
      </c>
      <c r="C934" t="s">
        <v>17</v>
      </c>
      <c r="D934" t="s">
        <v>24</v>
      </c>
      <c r="E934" s="3">
        <v>16.61</v>
      </c>
      <c r="F934" s="3">
        <v>6.13</v>
      </c>
      <c r="G934" s="3">
        <v>19.41</v>
      </c>
      <c r="H934" s="4">
        <v>220.78</v>
      </c>
      <c r="I934" s="3">
        <v>69.349999999999994</v>
      </c>
      <c r="J934" t="s">
        <v>28</v>
      </c>
      <c r="K934" s="4">
        <v>3.39147</v>
      </c>
      <c r="L934" s="6" cm="1">
        <f t="array" ref="L934">_xlfn.PERCENTILE.INC(_xlfn._xlws.FILTER(tabla_base[Rendimiento_por_hectarea_ton], tabla_base[tipo_cultivo]=tabla_base[[#This Row],[tipo_cultivo]]), 0.75)</f>
        <v>5.3984449999999997</v>
      </c>
      <c r="M934" s="7" t="str">
        <f>IF(tabla_base[[#This Row],[Rendimiento_por_hectarea_ton]]&gt;tabla_base[[#This Row],[percentil_0,75]],"Sí","No")</f>
        <v>No</v>
      </c>
      <c r="N934" s="3">
        <v>0.52</v>
      </c>
      <c r="O934" t="s">
        <v>20</v>
      </c>
    </row>
    <row r="935" spans="1:15" x14ac:dyDescent="0.35">
      <c r="A935" t="s">
        <v>969</v>
      </c>
      <c r="B935" t="s">
        <v>16</v>
      </c>
      <c r="C935" t="s">
        <v>30</v>
      </c>
      <c r="D935" t="s">
        <v>31</v>
      </c>
      <c r="E935" s="3">
        <v>15.94</v>
      </c>
      <c r="F935" s="3">
        <v>6.48</v>
      </c>
      <c r="G935" s="3">
        <v>32.5</v>
      </c>
      <c r="H935" s="4">
        <v>283.18</v>
      </c>
      <c r="I935" s="3">
        <v>77.77</v>
      </c>
      <c r="J935" t="s">
        <v>19</v>
      </c>
      <c r="K935" s="4">
        <v>5.3315400000000004</v>
      </c>
      <c r="L935" s="6" cm="1">
        <f t="array" ref="L935">_xlfn.PERCENTILE.INC(_xlfn._xlws.FILTER(tabla_base[Rendimiento_por_hectarea_ton], tabla_base[tipo_cultivo]=tabla_base[[#This Row],[tipo_cultivo]]), 0.75)</f>
        <v>5.1742550000000005</v>
      </c>
      <c r="M935" s="7" t="str">
        <f>IF(tabla_base[[#This Row],[Rendimiento_por_hectarea_ton]]&gt;tabla_base[[#This Row],[percentil_0,75]],"Sí","No")</f>
        <v>Sí</v>
      </c>
      <c r="N935" s="3">
        <v>0.81</v>
      </c>
      <c r="O935" t="s">
        <v>26</v>
      </c>
    </row>
    <row r="936" spans="1:15" x14ac:dyDescent="0.35">
      <c r="A936" t="s">
        <v>970</v>
      </c>
      <c r="B936" t="s">
        <v>22</v>
      </c>
      <c r="C936" t="s">
        <v>23</v>
      </c>
      <c r="D936" t="s">
        <v>31</v>
      </c>
      <c r="E936" s="3">
        <v>30.24</v>
      </c>
      <c r="F936" s="3">
        <v>6.69</v>
      </c>
      <c r="G936" s="3">
        <v>17.940000000000001</v>
      </c>
      <c r="H936" s="4">
        <v>84.35</v>
      </c>
      <c r="I936" s="3">
        <v>63.05</v>
      </c>
      <c r="J936" t="s">
        <v>37</v>
      </c>
      <c r="K936" s="4">
        <v>3.58345</v>
      </c>
      <c r="L936" s="6" cm="1">
        <f t="array" ref="L936">_xlfn.PERCENTILE.INC(_xlfn._xlws.FILTER(tabla_base[Rendimiento_por_hectarea_ton], tabla_base[tipo_cultivo]=tabla_base[[#This Row],[tipo_cultivo]]), 0.75)</f>
        <v>5.1742550000000005</v>
      </c>
      <c r="M936" s="7" t="str">
        <f>IF(tabla_base[[#This Row],[Rendimiento_por_hectarea_ton]]&gt;tabla_base[[#This Row],[percentil_0,75]],"Sí","No")</f>
        <v>No</v>
      </c>
      <c r="N936" s="3">
        <v>0.87</v>
      </c>
      <c r="O936" t="s">
        <v>26</v>
      </c>
    </row>
    <row r="937" spans="1:15" x14ac:dyDescent="0.35">
      <c r="A937" t="s">
        <v>971</v>
      </c>
      <c r="B937" t="s">
        <v>22</v>
      </c>
      <c r="C937" t="s">
        <v>17</v>
      </c>
      <c r="D937" t="s">
        <v>33</v>
      </c>
      <c r="E937" s="3">
        <v>15.48</v>
      </c>
      <c r="F937" s="3">
        <v>6.57</v>
      </c>
      <c r="G937" s="3">
        <v>27.72</v>
      </c>
      <c r="H937" s="4">
        <v>228.86</v>
      </c>
      <c r="I937" s="3">
        <v>71.64</v>
      </c>
      <c r="J937" t="s">
        <v>28</v>
      </c>
      <c r="K937" s="4">
        <v>2.9730699999999999</v>
      </c>
      <c r="L937" s="6" cm="1">
        <f t="array" ref="L937">_xlfn.PERCENTILE.INC(_xlfn._xlws.FILTER(tabla_base[Rendimiento_por_hectarea_ton], tabla_base[tipo_cultivo]=tabla_base[[#This Row],[tipo_cultivo]]), 0.75)</f>
        <v>5.1635450000000001</v>
      </c>
      <c r="M937" s="7" t="str">
        <f>IF(tabla_base[[#This Row],[Rendimiento_por_hectarea_ton]]&gt;tabla_base[[#This Row],[percentil_0,75]],"Sí","No")</f>
        <v>No</v>
      </c>
      <c r="N937" s="3">
        <v>0.79</v>
      </c>
      <c r="O937" t="s">
        <v>19</v>
      </c>
    </row>
    <row r="938" spans="1:15" x14ac:dyDescent="0.35">
      <c r="A938" t="s">
        <v>972</v>
      </c>
      <c r="B938" t="s">
        <v>22</v>
      </c>
      <c r="C938" t="s">
        <v>23</v>
      </c>
      <c r="D938" t="s">
        <v>31</v>
      </c>
      <c r="E938" s="3">
        <v>25.75</v>
      </c>
      <c r="F938" s="3">
        <v>6.16</v>
      </c>
      <c r="G938" s="3">
        <v>31.63</v>
      </c>
      <c r="H938" s="4">
        <v>231.17</v>
      </c>
      <c r="I938" s="3">
        <v>80.06</v>
      </c>
      <c r="J938" t="s">
        <v>19</v>
      </c>
      <c r="K938" s="4">
        <v>6.4821299999999997</v>
      </c>
      <c r="L938" s="6" cm="1">
        <f t="array" ref="L938">_xlfn.PERCENTILE.INC(_xlfn._xlws.FILTER(tabla_base[Rendimiento_por_hectarea_ton], tabla_base[tipo_cultivo]=tabla_base[[#This Row],[tipo_cultivo]]), 0.75)</f>
        <v>5.1742550000000005</v>
      </c>
      <c r="M938" s="7" t="str">
        <f>IF(tabla_base[[#This Row],[Rendimiento_por_hectarea_ton]]&gt;tabla_base[[#This Row],[percentil_0,75]],"Sí","No")</f>
        <v>Sí</v>
      </c>
      <c r="N938" s="3">
        <v>0.59</v>
      </c>
      <c r="O938" t="s">
        <v>19</v>
      </c>
    </row>
    <row r="939" spans="1:15" x14ac:dyDescent="0.35">
      <c r="A939" t="s">
        <v>973</v>
      </c>
      <c r="B939" t="s">
        <v>22</v>
      </c>
      <c r="C939" t="s">
        <v>30</v>
      </c>
      <c r="D939" t="s">
        <v>18</v>
      </c>
      <c r="E939" s="3">
        <v>40</v>
      </c>
      <c r="F939" s="3">
        <v>7.25</v>
      </c>
      <c r="G939" s="3">
        <v>21.16</v>
      </c>
      <c r="H939" s="4">
        <v>102.65</v>
      </c>
      <c r="I939" s="3">
        <v>77.61</v>
      </c>
      <c r="J939" t="s">
        <v>37</v>
      </c>
      <c r="K939" s="4">
        <v>3.7599800000000001</v>
      </c>
      <c r="L939" s="6" cm="1">
        <f t="array" ref="L939">_xlfn.PERCENTILE.INC(_xlfn._xlws.FILTER(tabla_base[Rendimiento_por_hectarea_ton], tabla_base[tipo_cultivo]=tabla_base[[#This Row],[tipo_cultivo]]), 0.75)</f>
        <v>5.2079399999999998</v>
      </c>
      <c r="M939" s="7" t="str">
        <f>IF(tabla_base[[#This Row],[Rendimiento_por_hectarea_ton]]&gt;tabla_base[[#This Row],[percentil_0,75]],"Sí","No")</f>
        <v>No</v>
      </c>
      <c r="N939" s="3">
        <v>0.54</v>
      </c>
      <c r="O939" t="s">
        <v>26</v>
      </c>
    </row>
    <row r="940" spans="1:15" x14ac:dyDescent="0.35">
      <c r="A940" t="s">
        <v>974</v>
      </c>
      <c r="B940" t="s">
        <v>22</v>
      </c>
      <c r="C940" t="s">
        <v>17</v>
      </c>
      <c r="D940" t="s">
        <v>35</v>
      </c>
      <c r="E940" s="3">
        <v>17.43</v>
      </c>
      <c r="F940" s="3">
        <v>7.23</v>
      </c>
      <c r="G940" s="3">
        <v>18.41</v>
      </c>
      <c r="H940" s="4">
        <v>257.74</v>
      </c>
      <c r="I940" s="3">
        <v>80.55</v>
      </c>
      <c r="J940" t="s">
        <v>28</v>
      </c>
      <c r="K940" s="4">
        <v>5.0166399999999998</v>
      </c>
      <c r="L940" s="6" cm="1">
        <f t="array" ref="L940">_xlfn.PERCENTILE.INC(_xlfn._xlws.FILTER(tabla_base[Rendimiento_por_hectarea_ton], tabla_base[tipo_cultivo]=tabla_base[[#This Row],[tipo_cultivo]]), 0.75)</f>
        <v>5.1318025</v>
      </c>
      <c r="M940" s="7" t="str">
        <f>IF(tabla_base[[#This Row],[Rendimiento_por_hectarea_ton]]&gt;tabla_base[[#This Row],[percentil_0,75]],"Sí","No")</f>
        <v>No</v>
      </c>
      <c r="N940" s="3">
        <v>0.67</v>
      </c>
      <c r="O940" t="s">
        <v>20</v>
      </c>
    </row>
    <row r="941" spans="1:15" x14ac:dyDescent="0.35">
      <c r="A941" t="s">
        <v>975</v>
      </c>
      <c r="B941" t="s">
        <v>16</v>
      </c>
      <c r="C941" t="s">
        <v>40</v>
      </c>
      <c r="D941" t="s">
        <v>35</v>
      </c>
      <c r="E941" s="3">
        <v>32.020000000000003</v>
      </c>
      <c r="F941" s="3">
        <v>6.57</v>
      </c>
      <c r="G941" s="3">
        <v>15.17</v>
      </c>
      <c r="H941" s="4">
        <v>220.61</v>
      </c>
      <c r="I941" s="3">
        <v>61.79</v>
      </c>
      <c r="J941" t="s">
        <v>19</v>
      </c>
      <c r="K941" s="4">
        <v>2.7955299999999998</v>
      </c>
      <c r="L941" s="6" cm="1">
        <f t="array" ref="L941">_xlfn.PERCENTILE.INC(_xlfn._xlws.FILTER(tabla_base[Rendimiento_por_hectarea_ton], tabla_base[tipo_cultivo]=tabla_base[[#This Row],[tipo_cultivo]]), 0.75)</f>
        <v>5.1318025</v>
      </c>
      <c r="M941" s="7" t="str">
        <f>IF(tabla_base[[#This Row],[Rendimiento_por_hectarea_ton]]&gt;tabla_base[[#This Row],[percentil_0,75]],"Sí","No")</f>
        <v>No</v>
      </c>
      <c r="N941" s="3">
        <v>0.85</v>
      </c>
      <c r="O941" t="s">
        <v>19</v>
      </c>
    </row>
    <row r="942" spans="1:15" x14ac:dyDescent="0.35">
      <c r="A942" t="s">
        <v>976</v>
      </c>
      <c r="B942" t="s">
        <v>16</v>
      </c>
      <c r="C942" t="s">
        <v>17</v>
      </c>
      <c r="D942" t="s">
        <v>24</v>
      </c>
      <c r="E942" s="3">
        <v>32.25</v>
      </c>
      <c r="F942" s="3">
        <v>7.16</v>
      </c>
      <c r="G942" s="3">
        <v>26.89</v>
      </c>
      <c r="H942" s="4">
        <v>110.43</v>
      </c>
      <c r="I942" s="3">
        <v>54.13</v>
      </c>
      <c r="J942" t="s">
        <v>28</v>
      </c>
      <c r="K942" s="4">
        <v>3.07666</v>
      </c>
      <c r="L942" s="6" cm="1">
        <f t="array" ref="L942">_xlfn.PERCENTILE.INC(_xlfn._xlws.FILTER(tabla_base[Rendimiento_por_hectarea_ton], tabla_base[tipo_cultivo]=tabla_base[[#This Row],[tipo_cultivo]]), 0.75)</f>
        <v>5.3984449999999997</v>
      </c>
      <c r="M942" s="7" t="str">
        <f>IF(tabla_base[[#This Row],[Rendimiento_por_hectarea_ton]]&gt;tabla_base[[#This Row],[percentil_0,75]],"Sí","No")</f>
        <v>No</v>
      </c>
      <c r="N942" s="3">
        <v>0.87</v>
      </c>
      <c r="O942" t="s">
        <v>20</v>
      </c>
    </row>
    <row r="943" spans="1:15" x14ac:dyDescent="0.35">
      <c r="A943" t="s">
        <v>977</v>
      </c>
      <c r="B943" t="s">
        <v>544</v>
      </c>
      <c r="C943" t="s">
        <v>30</v>
      </c>
      <c r="D943" t="s">
        <v>547</v>
      </c>
      <c r="E943" s="3">
        <v>21.8</v>
      </c>
      <c r="F943" s="3">
        <v>7.07</v>
      </c>
      <c r="G943" s="3">
        <v>34.869999999999997</v>
      </c>
      <c r="H943" s="4">
        <v>53.89</v>
      </c>
      <c r="I943" s="3">
        <v>58.03</v>
      </c>
      <c r="J943" t="s">
        <v>28</v>
      </c>
      <c r="K943" s="4">
        <v>6.4170999999999996</v>
      </c>
      <c r="L943" s="6" cm="1">
        <f t="array" ref="L943">_xlfn.PERCENTILE.INC(_xlfn._xlws.FILTER(tabla_base[Rendimiento_por_hectarea_ton], tabla_base[tipo_cultivo]=tabla_base[[#This Row],[tipo_cultivo]]), 0.75)</f>
        <v>5.2323700000000004</v>
      </c>
      <c r="M943" s="7" t="str">
        <f>IF(tabla_base[[#This Row],[Rendimiento_por_hectarea_ton]]&gt;tabla_base[[#This Row],[percentil_0,75]],"Sí","No")</f>
        <v>Sí</v>
      </c>
      <c r="N943" s="3">
        <v>0.56000000000000005</v>
      </c>
      <c r="O943" t="s">
        <v>19</v>
      </c>
    </row>
    <row r="944" spans="1:15" x14ac:dyDescent="0.35">
      <c r="A944" t="s">
        <v>978</v>
      </c>
      <c r="B944" t="s">
        <v>22</v>
      </c>
      <c r="C944" t="s">
        <v>23</v>
      </c>
      <c r="D944" t="s">
        <v>547</v>
      </c>
      <c r="E944" s="3">
        <v>21.97</v>
      </c>
      <c r="F944" s="3">
        <v>7.29</v>
      </c>
      <c r="G944" s="3">
        <v>15.02</v>
      </c>
      <c r="H944" s="4">
        <v>75.81</v>
      </c>
      <c r="I944" s="3">
        <v>83.3</v>
      </c>
      <c r="J944" t="s">
        <v>28</v>
      </c>
      <c r="K944" s="4">
        <v>6.4167899999999998</v>
      </c>
      <c r="L944" s="6" cm="1">
        <f t="array" ref="L944">_xlfn.PERCENTILE.INC(_xlfn._xlws.FILTER(tabla_base[Rendimiento_por_hectarea_ton], tabla_base[tipo_cultivo]=tabla_base[[#This Row],[tipo_cultivo]]), 0.75)</f>
        <v>5.2323700000000004</v>
      </c>
      <c r="M944" s="7" t="str">
        <f>IF(tabla_base[[#This Row],[Rendimiento_por_hectarea_ton]]&gt;tabla_base[[#This Row],[percentil_0,75]],"Sí","No")</f>
        <v>Sí</v>
      </c>
      <c r="N944" s="3">
        <v>0.53</v>
      </c>
      <c r="O944" t="s">
        <v>19</v>
      </c>
    </row>
    <row r="945" spans="1:15" x14ac:dyDescent="0.35">
      <c r="A945" t="s">
        <v>979</v>
      </c>
      <c r="B945" t="s">
        <v>544</v>
      </c>
      <c r="C945" t="s">
        <v>23</v>
      </c>
      <c r="D945" t="s">
        <v>31</v>
      </c>
      <c r="E945" s="3">
        <v>25</v>
      </c>
      <c r="F945" s="3">
        <v>5.91</v>
      </c>
      <c r="G945" s="3">
        <v>18.010000000000002</v>
      </c>
      <c r="H945" s="4">
        <v>199</v>
      </c>
      <c r="I945" s="3">
        <v>87.34</v>
      </c>
      <c r="J945" t="s">
        <v>37</v>
      </c>
      <c r="K945" s="4">
        <v>3.1875499999999999</v>
      </c>
      <c r="L945" s="6" cm="1">
        <f t="array" ref="L945">_xlfn.PERCENTILE.INC(_xlfn._xlws.FILTER(tabla_base[Rendimiento_por_hectarea_ton], tabla_base[tipo_cultivo]=tabla_base[[#This Row],[tipo_cultivo]]), 0.75)</f>
        <v>5.1742550000000005</v>
      </c>
      <c r="M945" s="7" t="str">
        <f>IF(tabla_base[[#This Row],[Rendimiento_por_hectarea_ton]]&gt;tabla_base[[#This Row],[percentil_0,75]],"Sí","No")</f>
        <v>No</v>
      </c>
      <c r="N945" s="3">
        <v>0.55000000000000004</v>
      </c>
      <c r="O945" t="s">
        <v>20</v>
      </c>
    </row>
    <row r="946" spans="1:15" x14ac:dyDescent="0.35">
      <c r="A946" t="s">
        <v>980</v>
      </c>
      <c r="B946" t="s">
        <v>544</v>
      </c>
      <c r="C946" t="s">
        <v>30</v>
      </c>
      <c r="D946" t="s">
        <v>31</v>
      </c>
      <c r="E946" s="3">
        <v>21.73</v>
      </c>
      <c r="F946" s="3">
        <v>6.81</v>
      </c>
      <c r="G946" s="3">
        <v>32.130000000000003</v>
      </c>
      <c r="H946" s="4">
        <v>184.32</v>
      </c>
      <c r="I946" s="3">
        <v>65.180000000000007</v>
      </c>
      <c r="J946" t="s">
        <v>37</v>
      </c>
      <c r="K946" s="4">
        <v>4.3664800000000001</v>
      </c>
      <c r="L946" s="6" cm="1">
        <f t="array" ref="L946">_xlfn.PERCENTILE.INC(_xlfn._xlws.FILTER(tabla_base[Rendimiento_por_hectarea_ton], tabla_base[tipo_cultivo]=tabla_base[[#This Row],[tipo_cultivo]]), 0.75)</f>
        <v>5.1742550000000005</v>
      </c>
      <c r="M946" s="7" t="str">
        <f>IF(tabla_base[[#This Row],[Rendimiento_por_hectarea_ton]]&gt;tabla_base[[#This Row],[percentil_0,75]],"Sí","No")</f>
        <v>No</v>
      </c>
      <c r="N946" s="3">
        <v>0.88</v>
      </c>
      <c r="O946" t="s">
        <v>20</v>
      </c>
    </row>
    <row r="947" spans="1:15" x14ac:dyDescent="0.35">
      <c r="A947" t="s">
        <v>981</v>
      </c>
      <c r="B947" t="s">
        <v>22</v>
      </c>
      <c r="C947" t="s">
        <v>17</v>
      </c>
      <c r="D947" t="s">
        <v>24</v>
      </c>
      <c r="E947" s="3">
        <v>37.31</v>
      </c>
      <c r="F947" s="3">
        <v>6.01</v>
      </c>
      <c r="G947" s="3">
        <v>16.73</v>
      </c>
      <c r="H947" s="4">
        <v>281.70999999999998</v>
      </c>
      <c r="I947" s="3">
        <v>86.57</v>
      </c>
      <c r="J947" t="s">
        <v>25</v>
      </c>
      <c r="K947" s="4">
        <v>4.0688800000000001</v>
      </c>
      <c r="L947" s="6" cm="1">
        <f t="array" ref="L947">_xlfn.PERCENTILE.INC(_xlfn._xlws.FILTER(tabla_base[Rendimiento_por_hectarea_ton], tabla_base[tipo_cultivo]=tabla_base[[#This Row],[tipo_cultivo]]), 0.75)</f>
        <v>5.3984449999999997</v>
      </c>
      <c r="M947" s="7" t="str">
        <f>IF(tabla_base[[#This Row],[Rendimiento_por_hectarea_ton]]&gt;tabla_base[[#This Row],[percentil_0,75]],"Sí","No")</f>
        <v>No</v>
      </c>
      <c r="N947" s="3">
        <v>0.61</v>
      </c>
      <c r="O947" t="s">
        <v>19</v>
      </c>
    </row>
    <row r="948" spans="1:15" x14ac:dyDescent="0.35">
      <c r="A948" t="s">
        <v>982</v>
      </c>
      <c r="B948" t="s">
        <v>16</v>
      </c>
      <c r="C948" t="s">
        <v>23</v>
      </c>
      <c r="D948" t="s">
        <v>31</v>
      </c>
      <c r="E948" s="3">
        <v>22.02</v>
      </c>
      <c r="F948" s="3">
        <v>6.72</v>
      </c>
      <c r="G948" s="3">
        <v>18.38</v>
      </c>
      <c r="H948" s="4">
        <v>90.72</v>
      </c>
      <c r="I948" s="3">
        <v>55.41</v>
      </c>
      <c r="J948" t="s">
        <v>37</v>
      </c>
      <c r="K948" s="4">
        <v>3.0242</v>
      </c>
      <c r="L948" s="6" cm="1">
        <f t="array" ref="L948">_xlfn.PERCENTILE.INC(_xlfn._xlws.FILTER(tabla_base[Rendimiento_por_hectarea_ton], tabla_base[tipo_cultivo]=tabla_base[[#This Row],[tipo_cultivo]]), 0.75)</f>
        <v>5.1742550000000005</v>
      </c>
      <c r="M948" s="7" t="str">
        <f>IF(tabla_base[[#This Row],[Rendimiento_por_hectarea_ton]]&gt;tabla_base[[#This Row],[percentil_0,75]],"Sí","No")</f>
        <v>No</v>
      </c>
      <c r="N948" s="3">
        <v>0.76</v>
      </c>
      <c r="O948" t="s">
        <v>20</v>
      </c>
    </row>
    <row r="949" spans="1:15" x14ac:dyDescent="0.35">
      <c r="A949" t="s">
        <v>983</v>
      </c>
      <c r="B949" t="s">
        <v>16</v>
      </c>
      <c r="C949" t="s">
        <v>40</v>
      </c>
      <c r="D949" t="s">
        <v>33</v>
      </c>
      <c r="E949" s="3">
        <v>16.72</v>
      </c>
      <c r="F949" s="3">
        <v>6.23</v>
      </c>
      <c r="G949" s="3">
        <v>16.420000000000002</v>
      </c>
      <c r="H949" s="4">
        <v>215.65</v>
      </c>
      <c r="I949" s="3">
        <v>51.36</v>
      </c>
      <c r="J949" t="s">
        <v>25</v>
      </c>
      <c r="K949" s="4">
        <v>2.8132100000000002</v>
      </c>
      <c r="L949" s="6" cm="1">
        <f t="array" ref="L949">_xlfn.PERCENTILE.INC(_xlfn._xlws.FILTER(tabla_base[Rendimiento_por_hectarea_ton], tabla_base[tipo_cultivo]=tabla_base[[#This Row],[tipo_cultivo]]), 0.75)</f>
        <v>5.1635450000000001</v>
      </c>
      <c r="M949" s="7" t="str">
        <f>IF(tabla_base[[#This Row],[Rendimiento_por_hectarea_ton]]&gt;tabla_base[[#This Row],[percentil_0,75]],"Sí","No")</f>
        <v>No</v>
      </c>
      <c r="N949" s="3">
        <v>0.57999999999999996</v>
      </c>
      <c r="O949" t="s">
        <v>26</v>
      </c>
    </row>
    <row r="950" spans="1:15" x14ac:dyDescent="0.35">
      <c r="A950" t="s">
        <v>984</v>
      </c>
      <c r="B950" t="s">
        <v>16</v>
      </c>
      <c r="C950" t="s">
        <v>40</v>
      </c>
      <c r="D950" t="s">
        <v>24</v>
      </c>
      <c r="E950" s="3">
        <v>39.630000000000003</v>
      </c>
      <c r="F950" s="3">
        <v>6.55</v>
      </c>
      <c r="G950" s="3">
        <v>23.33</v>
      </c>
      <c r="H950" s="4">
        <v>262.45999999999998</v>
      </c>
      <c r="I950" s="3">
        <v>81.349999999999994</v>
      </c>
      <c r="J950" t="s">
        <v>28</v>
      </c>
      <c r="K950" s="4">
        <v>4.8514900000000001</v>
      </c>
      <c r="L950" s="6" cm="1">
        <f t="array" ref="L950">_xlfn.PERCENTILE.INC(_xlfn._xlws.FILTER(tabla_base[Rendimiento_por_hectarea_ton], tabla_base[tipo_cultivo]=tabla_base[[#This Row],[tipo_cultivo]]), 0.75)</f>
        <v>5.3984449999999997</v>
      </c>
      <c r="M950" s="7" t="str">
        <f>IF(tabla_base[[#This Row],[Rendimiento_por_hectarea_ton]]&gt;tabla_base[[#This Row],[percentil_0,75]],"Sí","No")</f>
        <v>No</v>
      </c>
      <c r="N950" s="3">
        <v>0.84</v>
      </c>
      <c r="O950" t="s">
        <v>26</v>
      </c>
    </row>
    <row r="951" spans="1:15" x14ac:dyDescent="0.35">
      <c r="A951" t="s">
        <v>985</v>
      </c>
      <c r="B951" t="s">
        <v>22</v>
      </c>
      <c r="C951" t="s">
        <v>23</v>
      </c>
      <c r="D951" t="s">
        <v>18</v>
      </c>
      <c r="E951" s="3">
        <v>30.09</v>
      </c>
      <c r="F951" s="3">
        <v>6.41</v>
      </c>
      <c r="G951" s="3">
        <v>24.69</v>
      </c>
      <c r="H951" s="4">
        <v>125.59</v>
      </c>
      <c r="I951" s="3">
        <v>65.78</v>
      </c>
      <c r="J951" t="s">
        <v>37</v>
      </c>
      <c r="K951" s="4">
        <v>4.8849600000000004</v>
      </c>
      <c r="L951" s="6" cm="1">
        <f t="array" ref="L951">_xlfn.PERCENTILE.INC(_xlfn._xlws.FILTER(tabla_base[Rendimiento_por_hectarea_ton], tabla_base[tipo_cultivo]=tabla_base[[#This Row],[tipo_cultivo]]), 0.75)</f>
        <v>5.2079399999999998</v>
      </c>
      <c r="M951" s="7" t="str">
        <f>IF(tabla_base[[#This Row],[Rendimiento_por_hectarea_ton]]&gt;tabla_base[[#This Row],[percentil_0,75]],"Sí","No")</f>
        <v>No</v>
      </c>
      <c r="N951" s="3">
        <v>0.66</v>
      </c>
      <c r="O951" t="s">
        <v>26</v>
      </c>
    </row>
    <row r="952" spans="1:15" x14ac:dyDescent="0.35">
      <c r="A952" t="s">
        <v>986</v>
      </c>
      <c r="B952" t="s">
        <v>544</v>
      </c>
      <c r="C952" t="s">
        <v>17</v>
      </c>
      <c r="D952" t="s">
        <v>33</v>
      </c>
      <c r="E952" s="3">
        <v>17.87</v>
      </c>
      <c r="F952" s="3">
        <v>6.31</v>
      </c>
      <c r="G952" s="3">
        <v>32.32</v>
      </c>
      <c r="H952" s="4">
        <v>210.34</v>
      </c>
      <c r="I952" s="3">
        <v>62.17</v>
      </c>
      <c r="J952" t="s">
        <v>25</v>
      </c>
      <c r="K952" s="4">
        <v>5.2447900000000001</v>
      </c>
      <c r="L952" s="6" cm="1">
        <f t="array" ref="L952">_xlfn.PERCENTILE.INC(_xlfn._xlws.FILTER(tabla_base[Rendimiento_por_hectarea_ton], tabla_base[tipo_cultivo]=tabla_base[[#This Row],[tipo_cultivo]]), 0.75)</f>
        <v>5.1635450000000001</v>
      </c>
      <c r="M952" s="7" t="str">
        <f>IF(tabla_base[[#This Row],[Rendimiento_por_hectarea_ton]]&gt;tabla_base[[#This Row],[percentil_0,75]],"Sí","No")</f>
        <v>Sí</v>
      </c>
      <c r="N952" s="3">
        <v>0.83</v>
      </c>
      <c r="O952" t="s">
        <v>19</v>
      </c>
    </row>
    <row r="953" spans="1:15" x14ac:dyDescent="0.35">
      <c r="A953" t="s">
        <v>987</v>
      </c>
      <c r="B953" t="s">
        <v>16</v>
      </c>
      <c r="C953" t="s">
        <v>23</v>
      </c>
      <c r="D953" t="s">
        <v>33</v>
      </c>
      <c r="E953" s="3">
        <v>21.89</v>
      </c>
      <c r="F953" s="3">
        <v>6.53</v>
      </c>
      <c r="G953" s="3">
        <v>29.61</v>
      </c>
      <c r="H953" s="4">
        <v>77.55</v>
      </c>
      <c r="I953" s="3">
        <v>85.46</v>
      </c>
      <c r="J953" t="s">
        <v>25</v>
      </c>
      <c r="K953" s="4">
        <v>2.9965999999999999</v>
      </c>
      <c r="L953" s="6" cm="1">
        <f t="array" ref="L953">_xlfn.PERCENTILE.INC(_xlfn._xlws.FILTER(tabla_base[Rendimiento_por_hectarea_ton], tabla_base[tipo_cultivo]=tabla_base[[#This Row],[tipo_cultivo]]), 0.75)</f>
        <v>5.1635450000000001</v>
      </c>
      <c r="M953" s="7" t="str">
        <f>IF(tabla_base[[#This Row],[Rendimiento_por_hectarea_ton]]&gt;tabla_base[[#This Row],[percentil_0,75]],"Sí","No")</f>
        <v>No</v>
      </c>
      <c r="N953" s="3">
        <v>0.55000000000000004</v>
      </c>
      <c r="O953" t="s">
        <v>19</v>
      </c>
    </row>
    <row r="954" spans="1:15" x14ac:dyDescent="0.35">
      <c r="A954" t="s">
        <v>988</v>
      </c>
      <c r="B954" t="s">
        <v>544</v>
      </c>
      <c r="C954" t="s">
        <v>23</v>
      </c>
      <c r="D954" t="s">
        <v>31</v>
      </c>
      <c r="E954" s="3">
        <v>39.590000000000003</v>
      </c>
      <c r="F954" s="3">
        <v>6.24</v>
      </c>
      <c r="G954" s="3">
        <v>21.73</v>
      </c>
      <c r="H954" s="4">
        <v>74.319999999999993</v>
      </c>
      <c r="I954" s="3">
        <v>56.25</v>
      </c>
      <c r="J954" t="s">
        <v>28</v>
      </c>
      <c r="K954" s="4">
        <v>3.8786999999999998</v>
      </c>
      <c r="L954" s="6" cm="1">
        <f t="array" ref="L954">_xlfn.PERCENTILE.INC(_xlfn._xlws.FILTER(tabla_base[Rendimiento_por_hectarea_ton], tabla_base[tipo_cultivo]=tabla_base[[#This Row],[tipo_cultivo]]), 0.75)</f>
        <v>5.1742550000000005</v>
      </c>
      <c r="M954" s="7" t="str">
        <f>IF(tabla_base[[#This Row],[Rendimiento_por_hectarea_ton]]&gt;tabla_base[[#This Row],[percentil_0,75]],"Sí","No")</f>
        <v>No</v>
      </c>
      <c r="N954" s="3">
        <v>0.53</v>
      </c>
      <c r="O954" t="s">
        <v>19</v>
      </c>
    </row>
    <row r="955" spans="1:15" x14ac:dyDescent="0.35">
      <c r="A955" t="s">
        <v>989</v>
      </c>
      <c r="B955" t="s">
        <v>16</v>
      </c>
      <c r="C955" t="s">
        <v>17</v>
      </c>
      <c r="D955" t="s">
        <v>31</v>
      </c>
      <c r="E955" s="3">
        <v>20.11</v>
      </c>
      <c r="F955" s="3">
        <v>6.48</v>
      </c>
      <c r="G955" s="3">
        <v>26.51</v>
      </c>
      <c r="H955" s="4">
        <v>177.54</v>
      </c>
      <c r="I955" s="3">
        <v>82.05</v>
      </c>
      <c r="J955" t="s">
        <v>19</v>
      </c>
      <c r="K955" s="4">
        <v>3.3109999999999999</v>
      </c>
      <c r="L955" s="6" cm="1">
        <f t="array" ref="L955">_xlfn.PERCENTILE.INC(_xlfn._xlws.FILTER(tabla_base[Rendimiento_por_hectarea_ton], tabla_base[tipo_cultivo]=tabla_base[[#This Row],[tipo_cultivo]]), 0.75)</f>
        <v>5.1742550000000005</v>
      </c>
      <c r="M955" s="7" t="str">
        <f>IF(tabla_base[[#This Row],[Rendimiento_por_hectarea_ton]]&gt;tabla_base[[#This Row],[percentil_0,75]],"Sí","No")</f>
        <v>No</v>
      </c>
      <c r="N955" s="3">
        <v>0.51</v>
      </c>
      <c r="O955" t="s">
        <v>20</v>
      </c>
    </row>
    <row r="956" spans="1:15" x14ac:dyDescent="0.35">
      <c r="A956" t="s">
        <v>990</v>
      </c>
      <c r="B956" t="s">
        <v>16</v>
      </c>
      <c r="C956" t="s">
        <v>40</v>
      </c>
      <c r="D956" t="s">
        <v>35</v>
      </c>
      <c r="E956" s="3">
        <v>28.92</v>
      </c>
      <c r="F956" s="3">
        <v>6.02</v>
      </c>
      <c r="G956" s="3">
        <v>16.03</v>
      </c>
      <c r="H956" s="4">
        <v>264.61</v>
      </c>
      <c r="I956" s="3">
        <v>63.31</v>
      </c>
      <c r="J956" t="s">
        <v>25</v>
      </c>
      <c r="K956" s="4">
        <v>4.0711300000000001</v>
      </c>
      <c r="L956" s="6" cm="1">
        <f t="array" ref="L956">_xlfn.PERCENTILE.INC(_xlfn._xlws.FILTER(tabla_base[Rendimiento_por_hectarea_ton], tabla_base[tipo_cultivo]=tabla_base[[#This Row],[tipo_cultivo]]), 0.75)</f>
        <v>5.1318025</v>
      </c>
      <c r="M956" s="7" t="str">
        <f>IF(tabla_base[[#This Row],[Rendimiento_por_hectarea_ton]]&gt;tabla_base[[#This Row],[percentil_0,75]],"Sí","No")</f>
        <v>No</v>
      </c>
      <c r="N956" s="3">
        <v>0.82</v>
      </c>
      <c r="O956" t="s">
        <v>20</v>
      </c>
    </row>
    <row r="957" spans="1:15" x14ac:dyDescent="0.35">
      <c r="A957" t="s">
        <v>991</v>
      </c>
      <c r="B957" t="s">
        <v>22</v>
      </c>
      <c r="C957" t="s">
        <v>23</v>
      </c>
      <c r="D957" t="s">
        <v>18</v>
      </c>
      <c r="E957" s="3">
        <v>27.06</v>
      </c>
      <c r="F957" s="3">
        <v>6.66</v>
      </c>
      <c r="G957" s="3">
        <v>26.28</v>
      </c>
      <c r="H957" s="4">
        <v>173.02</v>
      </c>
      <c r="I957" s="3">
        <v>65.489999999999995</v>
      </c>
      <c r="J957" t="s">
        <v>28</v>
      </c>
      <c r="K957" s="4">
        <v>4.4661999999999997</v>
      </c>
      <c r="L957" s="6" cm="1">
        <f t="array" ref="L957">_xlfn.PERCENTILE.INC(_xlfn._xlws.FILTER(tabla_base[Rendimiento_por_hectarea_ton], tabla_base[tipo_cultivo]=tabla_base[[#This Row],[tipo_cultivo]]), 0.75)</f>
        <v>5.2079399999999998</v>
      </c>
      <c r="M957" s="7" t="str">
        <f>IF(tabla_base[[#This Row],[Rendimiento_por_hectarea_ton]]&gt;tabla_base[[#This Row],[percentil_0,75]],"Sí","No")</f>
        <v>No</v>
      </c>
      <c r="N957" s="3">
        <v>0.74</v>
      </c>
      <c r="O957" t="s">
        <v>19</v>
      </c>
    </row>
    <row r="958" spans="1:15" x14ac:dyDescent="0.35">
      <c r="A958" t="s">
        <v>992</v>
      </c>
      <c r="B958" t="s">
        <v>22</v>
      </c>
      <c r="C958" t="s">
        <v>17</v>
      </c>
      <c r="D958" t="s">
        <v>33</v>
      </c>
      <c r="E958" s="3">
        <v>20.100000000000001</v>
      </c>
      <c r="F958" s="3">
        <v>6.92</v>
      </c>
      <c r="G958" s="3">
        <v>25.67</v>
      </c>
      <c r="H958" s="4">
        <v>198.32</v>
      </c>
      <c r="I958" s="3">
        <v>79.08</v>
      </c>
      <c r="J958" t="s">
        <v>25</v>
      </c>
      <c r="K958" s="4">
        <v>5.5580100000000003</v>
      </c>
      <c r="L958" s="6" cm="1">
        <f t="array" ref="L958">_xlfn.PERCENTILE.INC(_xlfn._xlws.FILTER(tabla_base[Rendimiento_por_hectarea_ton], tabla_base[tipo_cultivo]=tabla_base[[#This Row],[tipo_cultivo]]), 0.75)</f>
        <v>5.1635450000000001</v>
      </c>
      <c r="M958" s="7" t="str">
        <f>IF(tabla_base[[#This Row],[Rendimiento_por_hectarea_ton]]&gt;tabla_base[[#This Row],[percentil_0,75]],"Sí","No")</f>
        <v>Sí</v>
      </c>
      <c r="N958" s="3">
        <v>0.84</v>
      </c>
      <c r="O958" t="s">
        <v>26</v>
      </c>
    </row>
    <row r="959" spans="1:15" x14ac:dyDescent="0.35">
      <c r="A959" t="s">
        <v>993</v>
      </c>
      <c r="B959" t="s">
        <v>22</v>
      </c>
      <c r="C959" t="s">
        <v>30</v>
      </c>
      <c r="D959" t="s">
        <v>24</v>
      </c>
      <c r="E959" s="3">
        <v>19.77</v>
      </c>
      <c r="F959" s="3">
        <v>6.22</v>
      </c>
      <c r="G959" s="3">
        <v>22.53</v>
      </c>
      <c r="H959" s="4">
        <v>263.18</v>
      </c>
      <c r="I959" s="3">
        <v>68.88</v>
      </c>
      <c r="J959" t="s">
        <v>25</v>
      </c>
      <c r="K959" s="4">
        <v>4.1904500000000002</v>
      </c>
      <c r="L959" s="6" cm="1">
        <f t="array" ref="L959">_xlfn.PERCENTILE.INC(_xlfn._xlws.FILTER(tabla_base[Rendimiento_por_hectarea_ton], tabla_base[tipo_cultivo]=tabla_base[[#This Row],[tipo_cultivo]]), 0.75)</f>
        <v>5.3984449999999997</v>
      </c>
      <c r="M959" s="7" t="str">
        <f>IF(tabla_base[[#This Row],[Rendimiento_por_hectarea_ton]]&gt;tabla_base[[#This Row],[percentil_0,75]],"Sí","No")</f>
        <v>No</v>
      </c>
      <c r="N959" s="3">
        <v>0.59</v>
      </c>
      <c r="O959" t="s">
        <v>26</v>
      </c>
    </row>
    <row r="960" spans="1:15" x14ac:dyDescent="0.35">
      <c r="A960" t="s">
        <v>994</v>
      </c>
      <c r="B960" t="s">
        <v>16</v>
      </c>
      <c r="C960" t="s">
        <v>23</v>
      </c>
      <c r="D960" t="s">
        <v>35</v>
      </c>
      <c r="E960" s="3">
        <v>24.35</v>
      </c>
      <c r="F960" s="3">
        <v>5.74</v>
      </c>
      <c r="G960" s="3">
        <v>25.26</v>
      </c>
      <c r="H960" s="4">
        <v>64.73</v>
      </c>
      <c r="I960" s="3">
        <v>51.79</v>
      </c>
      <c r="J960" t="s">
        <v>19</v>
      </c>
      <c r="K960" s="4">
        <v>5.30715</v>
      </c>
      <c r="L960" s="6" cm="1">
        <f t="array" ref="L960">_xlfn.PERCENTILE.INC(_xlfn._xlws.FILTER(tabla_base[Rendimiento_por_hectarea_ton], tabla_base[tipo_cultivo]=tabla_base[[#This Row],[tipo_cultivo]]), 0.75)</f>
        <v>5.1318025</v>
      </c>
      <c r="M960" s="7" t="str">
        <f>IF(tabla_base[[#This Row],[Rendimiento_por_hectarea_ton]]&gt;tabla_base[[#This Row],[percentil_0,75]],"Sí","No")</f>
        <v>Sí</v>
      </c>
      <c r="N960" s="3">
        <v>0.57999999999999996</v>
      </c>
      <c r="O960" t="s">
        <v>19</v>
      </c>
    </row>
    <row r="961" spans="1:15" x14ac:dyDescent="0.35">
      <c r="A961" t="s">
        <v>995</v>
      </c>
      <c r="B961" t="s">
        <v>22</v>
      </c>
      <c r="C961" t="s">
        <v>30</v>
      </c>
      <c r="D961" t="s">
        <v>31</v>
      </c>
      <c r="E961" s="3">
        <v>28.16</v>
      </c>
      <c r="F961" s="3">
        <v>5.75</v>
      </c>
      <c r="G961" s="3">
        <v>16.66</v>
      </c>
      <c r="H961" s="4">
        <v>278.69</v>
      </c>
      <c r="I961" s="3">
        <v>54.66</v>
      </c>
      <c r="J961" t="s">
        <v>37</v>
      </c>
      <c r="K961" s="4">
        <v>4.2248599999999996</v>
      </c>
      <c r="L961" s="6" cm="1">
        <f t="array" ref="L961">_xlfn.PERCENTILE.INC(_xlfn._xlws.FILTER(tabla_base[Rendimiento_por_hectarea_ton], tabla_base[tipo_cultivo]=tabla_base[[#This Row],[tipo_cultivo]]), 0.75)</f>
        <v>5.1742550000000005</v>
      </c>
      <c r="M961" s="7" t="str">
        <f>IF(tabla_base[[#This Row],[Rendimiento_por_hectarea_ton]]&gt;tabla_base[[#This Row],[percentil_0,75]],"Sí","No")</f>
        <v>No</v>
      </c>
      <c r="N961" s="3">
        <v>0.63</v>
      </c>
      <c r="O961" t="s">
        <v>26</v>
      </c>
    </row>
    <row r="962" spans="1:15" x14ac:dyDescent="0.35">
      <c r="A962" t="s">
        <v>996</v>
      </c>
      <c r="B962" t="s">
        <v>16</v>
      </c>
      <c r="C962" t="s">
        <v>17</v>
      </c>
      <c r="D962" t="s">
        <v>35</v>
      </c>
      <c r="E962" s="3">
        <v>24.03</v>
      </c>
      <c r="F962" s="3">
        <v>5.67</v>
      </c>
      <c r="G962" s="3">
        <v>22.36</v>
      </c>
      <c r="H962" s="4">
        <v>53.5</v>
      </c>
      <c r="I962" s="3">
        <v>78.78</v>
      </c>
      <c r="J962" t="s">
        <v>19</v>
      </c>
      <c r="K962" s="4">
        <v>4.3648699999999998</v>
      </c>
      <c r="L962" s="6" cm="1">
        <f t="array" ref="L962">_xlfn.PERCENTILE.INC(_xlfn._xlws.FILTER(tabla_base[Rendimiento_por_hectarea_ton], tabla_base[tipo_cultivo]=tabla_base[[#This Row],[tipo_cultivo]]), 0.75)</f>
        <v>5.1318025</v>
      </c>
      <c r="M962" s="7" t="str">
        <f>IF(tabla_base[[#This Row],[Rendimiento_por_hectarea_ton]]&gt;tabla_base[[#This Row],[percentil_0,75]],"Sí","No")</f>
        <v>No</v>
      </c>
      <c r="N962" s="3">
        <v>0.67</v>
      </c>
      <c r="O962" t="s">
        <v>26</v>
      </c>
    </row>
    <row r="963" spans="1:15" x14ac:dyDescent="0.35">
      <c r="A963" t="s">
        <v>997</v>
      </c>
      <c r="B963" t="s">
        <v>22</v>
      </c>
      <c r="C963" t="s">
        <v>17</v>
      </c>
      <c r="D963" t="s">
        <v>24</v>
      </c>
      <c r="E963" s="3">
        <v>22.68</v>
      </c>
      <c r="F963" s="3">
        <v>6.05</v>
      </c>
      <c r="G963" s="3">
        <v>33.409999999999997</v>
      </c>
      <c r="H963" s="4">
        <v>272.95</v>
      </c>
      <c r="I963" s="3">
        <v>71.209999999999994</v>
      </c>
      <c r="J963" t="s">
        <v>25</v>
      </c>
      <c r="K963" s="4">
        <v>3.8028900000000001</v>
      </c>
      <c r="L963" s="6" cm="1">
        <f t="array" ref="L963">_xlfn.PERCENTILE.INC(_xlfn._xlws.FILTER(tabla_base[Rendimiento_por_hectarea_ton], tabla_base[tipo_cultivo]=tabla_base[[#This Row],[tipo_cultivo]]), 0.75)</f>
        <v>5.3984449999999997</v>
      </c>
      <c r="M963" s="7" t="str">
        <f>IF(tabla_base[[#This Row],[Rendimiento_por_hectarea_ton]]&gt;tabla_base[[#This Row],[percentil_0,75]],"Sí","No")</f>
        <v>No</v>
      </c>
      <c r="N963" s="3">
        <v>0.88</v>
      </c>
      <c r="O963" t="s">
        <v>20</v>
      </c>
    </row>
    <row r="964" spans="1:15" x14ac:dyDescent="0.35">
      <c r="A964" t="s">
        <v>998</v>
      </c>
      <c r="B964" t="s">
        <v>16</v>
      </c>
      <c r="C964" t="s">
        <v>30</v>
      </c>
      <c r="D964" t="s">
        <v>35</v>
      </c>
      <c r="E964" s="3">
        <v>24.28</v>
      </c>
      <c r="F964" s="3">
        <v>6.38</v>
      </c>
      <c r="G964" s="3">
        <v>19.27</v>
      </c>
      <c r="H964" s="4">
        <v>289.26</v>
      </c>
      <c r="I964" s="3">
        <v>51.8</v>
      </c>
      <c r="J964" t="s">
        <v>19</v>
      </c>
      <c r="K964" s="4">
        <v>4.3314500000000002</v>
      </c>
      <c r="L964" s="6" cm="1">
        <f t="array" ref="L964">_xlfn.PERCENTILE.INC(_xlfn._xlws.FILTER(tabla_base[Rendimiento_por_hectarea_ton], tabla_base[tipo_cultivo]=tabla_base[[#This Row],[tipo_cultivo]]), 0.75)</f>
        <v>5.1318025</v>
      </c>
      <c r="M964" s="7" t="str">
        <f>IF(tabla_base[[#This Row],[Rendimiento_por_hectarea_ton]]&gt;tabla_base[[#This Row],[percentil_0,75]],"Sí","No")</f>
        <v>No</v>
      </c>
      <c r="N964" s="3">
        <v>0.72</v>
      </c>
      <c r="O964" t="s">
        <v>20</v>
      </c>
    </row>
    <row r="965" spans="1:15" x14ac:dyDescent="0.35">
      <c r="A965" t="s">
        <v>999</v>
      </c>
      <c r="B965" t="s">
        <v>22</v>
      </c>
      <c r="C965" t="s">
        <v>17</v>
      </c>
      <c r="D965" t="s">
        <v>35</v>
      </c>
      <c r="E965" s="3">
        <v>29.75</v>
      </c>
      <c r="F965" s="3">
        <v>7.18</v>
      </c>
      <c r="G965" s="3">
        <v>30.24</v>
      </c>
      <c r="H965" s="4">
        <v>202.02</v>
      </c>
      <c r="I965" s="3">
        <v>57.19</v>
      </c>
      <c r="J965" t="s">
        <v>25</v>
      </c>
      <c r="K965" s="4">
        <v>5.6444400000000003</v>
      </c>
      <c r="L965" s="6" cm="1">
        <f t="array" ref="L965">_xlfn.PERCENTILE.INC(_xlfn._xlws.FILTER(tabla_base[Rendimiento_por_hectarea_ton], tabla_base[tipo_cultivo]=tabla_base[[#This Row],[tipo_cultivo]]), 0.75)</f>
        <v>5.1318025</v>
      </c>
      <c r="M965" s="7" t="str">
        <f>IF(tabla_base[[#This Row],[Rendimiento_por_hectarea_ton]]&gt;tabla_base[[#This Row],[percentil_0,75]],"Sí","No")</f>
        <v>Sí</v>
      </c>
      <c r="N965" s="3">
        <v>0.56999999999999995</v>
      </c>
      <c r="O965" t="s">
        <v>19</v>
      </c>
    </row>
    <row r="966" spans="1:15" x14ac:dyDescent="0.35">
      <c r="A966" t="s">
        <v>1000</v>
      </c>
      <c r="B966" t="s">
        <v>22</v>
      </c>
      <c r="C966" t="s">
        <v>17</v>
      </c>
      <c r="D966" t="s">
        <v>24</v>
      </c>
      <c r="E966" s="3">
        <v>38.04</v>
      </c>
      <c r="F966" s="3">
        <v>6.21</v>
      </c>
      <c r="G966" s="3">
        <v>20.25</v>
      </c>
      <c r="H966" s="4">
        <v>277.24</v>
      </c>
      <c r="I966" s="3">
        <v>52.61</v>
      </c>
      <c r="J966" t="s">
        <v>25</v>
      </c>
      <c r="K966" s="4">
        <v>4.0803399999999996</v>
      </c>
      <c r="L966" s="6" cm="1">
        <f t="array" ref="L966">_xlfn.PERCENTILE.INC(_xlfn._xlws.FILTER(tabla_base[Rendimiento_por_hectarea_ton], tabla_base[tipo_cultivo]=tabla_base[[#This Row],[tipo_cultivo]]), 0.75)</f>
        <v>5.3984449999999997</v>
      </c>
      <c r="M966" s="7" t="str">
        <f>IF(tabla_base[[#This Row],[Rendimiento_por_hectarea_ton]]&gt;tabla_base[[#This Row],[percentil_0,75]],"Sí","No")</f>
        <v>No</v>
      </c>
      <c r="N966" s="3">
        <v>0.65</v>
      </c>
      <c r="O966" t="s">
        <v>26</v>
      </c>
    </row>
    <row r="967" spans="1:15" x14ac:dyDescent="0.35">
      <c r="A967" t="s">
        <v>1001</v>
      </c>
      <c r="B967" t="s">
        <v>22</v>
      </c>
      <c r="C967" t="s">
        <v>23</v>
      </c>
      <c r="D967" t="s">
        <v>35</v>
      </c>
      <c r="E967" s="3">
        <v>30.63</v>
      </c>
      <c r="F967" s="3">
        <v>6.18</v>
      </c>
      <c r="G967" s="3">
        <v>17.989999999999998</v>
      </c>
      <c r="H967" s="4">
        <v>147.69</v>
      </c>
      <c r="I967" s="3">
        <v>68.540000000000006</v>
      </c>
      <c r="J967" t="s">
        <v>19</v>
      </c>
      <c r="K967" s="4">
        <v>5.3372999999999999</v>
      </c>
      <c r="L967" s="6" cm="1">
        <f t="array" ref="L967">_xlfn.PERCENTILE.INC(_xlfn._xlws.FILTER(tabla_base[Rendimiento_por_hectarea_ton], tabla_base[tipo_cultivo]=tabla_base[[#This Row],[tipo_cultivo]]), 0.75)</f>
        <v>5.1318025</v>
      </c>
      <c r="M967" s="7" t="str">
        <f>IF(tabla_base[[#This Row],[Rendimiento_por_hectarea_ton]]&gt;tabla_base[[#This Row],[percentil_0,75]],"Sí","No")</f>
        <v>Sí</v>
      </c>
      <c r="N967" s="3">
        <v>0.6</v>
      </c>
      <c r="O967" t="s">
        <v>26</v>
      </c>
    </row>
    <row r="968" spans="1:15" x14ac:dyDescent="0.35">
      <c r="A968" t="s">
        <v>1002</v>
      </c>
      <c r="B968" t="s">
        <v>16</v>
      </c>
      <c r="C968" t="s">
        <v>40</v>
      </c>
      <c r="D968" t="s">
        <v>31</v>
      </c>
      <c r="E968" s="3">
        <v>35.74</v>
      </c>
      <c r="F968" s="3">
        <v>5.53</v>
      </c>
      <c r="G968" s="3">
        <v>30.21</v>
      </c>
      <c r="H968" s="4">
        <v>245.51</v>
      </c>
      <c r="I968" s="3">
        <v>50.01</v>
      </c>
      <c r="J968" t="s">
        <v>19</v>
      </c>
      <c r="K968" s="4">
        <v>4.6528600000000004</v>
      </c>
      <c r="L968" s="6" cm="1">
        <f t="array" ref="L968">_xlfn.PERCENTILE.INC(_xlfn._xlws.FILTER(tabla_base[Rendimiento_por_hectarea_ton], tabla_base[tipo_cultivo]=tabla_base[[#This Row],[tipo_cultivo]]), 0.75)</f>
        <v>5.1742550000000005</v>
      </c>
      <c r="M968" s="7" t="str">
        <f>IF(tabla_base[[#This Row],[Rendimiento_por_hectarea_ton]]&gt;tabla_base[[#This Row],[percentil_0,75]],"Sí","No")</f>
        <v>No</v>
      </c>
      <c r="N968" s="3">
        <v>0.72</v>
      </c>
      <c r="O968" t="s">
        <v>19</v>
      </c>
    </row>
    <row r="969" spans="1:15" x14ac:dyDescent="0.35">
      <c r="A969" t="s">
        <v>1003</v>
      </c>
      <c r="B969" t="s">
        <v>22</v>
      </c>
      <c r="C969" t="s">
        <v>23</v>
      </c>
      <c r="D969" t="s">
        <v>31</v>
      </c>
      <c r="E969" s="3">
        <v>24.77</v>
      </c>
      <c r="F969" s="3">
        <v>5.82</v>
      </c>
      <c r="G969" s="3">
        <v>33.21</v>
      </c>
      <c r="H969" s="4">
        <v>52.2</v>
      </c>
      <c r="I969" s="3">
        <v>88.39</v>
      </c>
      <c r="J969" t="s">
        <v>37</v>
      </c>
      <c r="K969" s="4">
        <v>3.6117499999999998</v>
      </c>
      <c r="L969" s="6" cm="1">
        <f t="array" ref="L969">_xlfn.PERCENTILE.INC(_xlfn._xlws.FILTER(tabla_base[Rendimiento_por_hectarea_ton], tabla_base[tipo_cultivo]=tabla_base[[#This Row],[tipo_cultivo]]), 0.75)</f>
        <v>5.1742550000000005</v>
      </c>
      <c r="M969" s="7" t="str">
        <f>IF(tabla_base[[#This Row],[Rendimiento_por_hectarea_ton]]&gt;tabla_base[[#This Row],[percentil_0,75]],"Sí","No")</f>
        <v>No</v>
      </c>
      <c r="N969" s="3">
        <v>0.78</v>
      </c>
      <c r="O969" t="s">
        <v>19</v>
      </c>
    </row>
    <row r="970" spans="1:15" x14ac:dyDescent="0.35">
      <c r="A970" t="s">
        <v>1004</v>
      </c>
      <c r="B970" t="s">
        <v>22</v>
      </c>
      <c r="C970" t="s">
        <v>30</v>
      </c>
      <c r="D970" t="s">
        <v>18</v>
      </c>
      <c r="E970" s="3">
        <v>29.48</v>
      </c>
      <c r="F970" s="3">
        <v>5.62</v>
      </c>
      <c r="G970" s="3">
        <v>30.18</v>
      </c>
      <c r="H970" s="4">
        <v>285.86</v>
      </c>
      <c r="I970" s="3">
        <v>84.7</v>
      </c>
      <c r="J970" t="s">
        <v>25</v>
      </c>
      <c r="K970" s="4">
        <v>4.5628900000000003</v>
      </c>
      <c r="L970" s="6" cm="1">
        <f t="array" ref="L970">_xlfn.PERCENTILE.INC(_xlfn._xlws.FILTER(tabla_base[Rendimiento_por_hectarea_ton], tabla_base[tipo_cultivo]=tabla_base[[#This Row],[tipo_cultivo]]), 0.75)</f>
        <v>5.2079399999999998</v>
      </c>
      <c r="M970" s="7" t="str">
        <f>IF(tabla_base[[#This Row],[Rendimiento_por_hectarea_ton]]&gt;tabla_base[[#This Row],[percentil_0,75]],"Sí","No")</f>
        <v>No</v>
      </c>
      <c r="N970" s="3">
        <v>0.76</v>
      </c>
      <c r="O970" t="s">
        <v>20</v>
      </c>
    </row>
    <row r="971" spans="1:15" x14ac:dyDescent="0.35">
      <c r="A971" t="s">
        <v>1005</v>
      </c>
      <c r="B971" t="s">
        <v>22</v>
      </c>
      <c r="C971" t="s">
        <v>30</v>
      </c>
      <c r="D971" t="s">
        <v>18</v>
      </c>
      <c r="E971" s="3">
        <v>28.19</v>
      </c>
      <c r="F971" s="3">
        <v>6.26</v>
      </c>
      <c r="G971" s="3">
        <v>27.58</v>
      </c>
      <c r="H971" s="4">
        <v>292.52999999999997</v>
      </c>
      <c r="I971" s="3">
        <v>80.64</v>
      </c>
      <c r="J971" t="s">
        <v>25</v>
      </c>
      <c r="K971" s="4">
        <v>2.7372100000000001</v>
      </c>
      <c r="L971" s="6" cm="1">
        <f t="array" ref="L971">_xlfn.PERCENTILE.INC(_xlfn._xlws.FILTER(tabla_base[Rendimiento_por_hectarea_ton], tabla_base[tipo_cultivo]=tabla_base[[#This Row],[tipo_cultivo]]), 0.75)</f>
        <v>5.2079399999999998</v>
      </c>
      <c r="M971" s="7" t="str">
        <f>IF(tabla_base[[#This Row],[Rendimiento_por_hectarea_ton]]&gt;tabla_base[[#This Row],[percentil_0,75]],"Sí","No")</f>
        <v>No</v>
      </c>
      <c r="N971" s="3">
        <v>0.75</v>
      </c>
      <c r="O971" t="s">
        <v>26</v>
      </c>
    </row>
    <row r="972" spans="1:15" x14ac:dyDescent="0.35">
      <c r="A972" t="s">
        <v>1006</v>
      </c>
      <c r="B972" t="s">
        <v>16</v>
      </c>
      <c r="C972" t="s">
        <v>40</v>
      </c>
      <c r="D972" t="s">
        <v>547</v>
      </c>
      <c r="E972" s="3">
        <v>16.32</v>
      </c>
      <c r="F972" s="3">
        <v>6.65</v>
      </c>
      <c r="G972" s="3">
        <v>16.670000000000002</v>
      </c>
      <c r="H972" s="4">
        <v>153.51</v>
      </c>
      <c r="I972" s="3">
        <v>64.069999999999993</v>
      </c>
      <c r="J972" t="s">
        <v>19</v>
      </c>
      <c r="K972" s="4">
        <v>5.1991899999999998</v>
      </c>
      <c r="L972" s="6" cm="1">
        <f t="array" ref="L972">_xlfn.PERCENTILE.INC(_xlfn._xlws.FILTER(tabla_base[Rendimiento_por_hectarea_ton], tabla_base[tipo_cultivo]=tabla_base[[#This Row],[tipo_cultivo]]), 0.75)</f>
        <v>5.2323700000000004</v>
      </c>
      <c r="M972" s="7" t="str">
        <f>IF(tabla_base[[#This Row],[Rendimiento_por_hectarea_ton]]&gt;tabla_base[[#This Row],[percentil_0,75]],"Sí","No")</f>
        <v>No</v>
      </c>
      <c r="N972" s="3">
        <v>0.78</v>
      </c>
      <c r="O972" t="s">
        <v>20</v>
      </c>
    </row>
    <row r="973" spans="1:15" x14ac:dyDescent="0.35">
      <c r="A973" t="s">
        <v>1007</v>
      </c>
      <c r="B973" t="s">
        <v>16</v>
      </c>
      <c r="C973" t="s">
        <v>30</v>
      </c>
      <c r="D973" t="s">
        <v>547</v>
      </c>
      <c r="E973" s="3">
        <v>34.74</v>
      </c>
      <c r="F973" s="3">
        <v>5.88</v>
      </c>
      <c r="G973" s="3">
        <v>22.6</v>
      </c>
      <c r="H973" s="4">
        <v>286.11</v>
      </c>
      <c r="I973" s="3">
        <v>66.819999999999993</v>
      </c>
      <c r="J973" t="s">
        <v>25</v>
      </c>
      <c r="K973" s="4">
        <v>5.8322200000000004</v>
      </c>
      <c r="L973" s="6" cm="1">
        <f t="array" ref="L973">_xlfn.PERCENTILE.INC(_xlfn._xlws.FILTER(tabla_base[Rendimiento_por_hectarea_ton], tabla_base[tipo_cultivo]=tabla_base[[#This Row],[tipo_cultivo]]), 0.75)</f>
        <v>5.2323700000000004</v>
      </c>
      <c r="M973" s="7" t="str">
        <f>IF(tabla_base[[#This Row],[Rendimiento_por_hectarea_ton]]&gt;tabla_base[[#This Row],[percentil_0,75]],"Sí","No")</f>
        <v>Sí</v>
      </c>
      <c r="N973" s="3">
        <v>0.76</v>
      </c>
      <c r="O973" t="s">
        <v>26</v>
      </c>
    </row>
    <row r="974" spans="1:15" x14ac:dyDescent="0.35">
      <c r="A974" t="s">
        <v>1008</v>
      </c>
      <c r="B974" t="s">
        <v>22</v>
      </c>
      <c r="C974" t="s">
        <v>23</v>
      </c>
      <c r="D974" t="s">
        <v>24</v>
      </c>
      <c r="E974" s="3">
        <v>30.71</v>
      </c>
      <c r="F974" s="3">
        <v>5.95</v>
      </c>
      <c r="G974" s="3">
        <v>17.899999999999999</v>
      </c>
      <c r="H974" s="4">
        <v>96.47</v>
      </c>
      <c r="I974" s="3">
        <v>77.37</v>
      </c>
      <c r="J974" t="s">
        <v>19</v>
      </c>
      <c r="K974" s="4">
        <v>3.6357400000000002</v>
      </c>
      <c r="L974" s="6" cm="1">
        <f t="array" ref="L974">_xlfn.PERCENTILE.INC(_xlfn._xlws.FILTER(tabla_base[Rendimiento_por_hectarea_ton], tabla_base[tipo_cultivo]=tabla_base[[#This Row],[tipo_cultivo]]), 0.75)</f>
        <v>5.3984449999999997</v>
      </c>
      <c r="M974" s="7" t="str">
        <f>IF(tabla_base[[#This Row],[Rendimiento_por_hectarea_ton]]&gt;tabla_base[[#This Row],[percentil_0,75]],"Sí","No")</f>
        <v>No</v>
      </c>
      <c r="N974" s="3">
        <v>0.74</v>
      </c>
      <c r="O974" t="s">
        <v>20</v>
      </c>
    </row>
    <row r="975" spans="1:15" x14ac:dyDescent="0.35">
      <c r="A975" t="s">
        <v>1009</v>
      </c>
      <c r="B975" t="s">
        <v>16</v>
      </c>
      <c r="C975" t="s">
        <v>17</v>
      </c>
      <c r="D975" t="s">
        <v>33</v>
      </c>
      <c r="E975" s="3">
        <v>39</v>
      </c>
      <c r="F975" s="3">
        <v>5.69</v>
      </c>
      <c r="G975" s="3">
        <v>17.75</v>
      </c>
      <c r="H975" s="4">
        <v>168.6</v>
      </c>
      <c r="I975" s="3">
        <v>69.040000000000006</v>
      </c>
      <c r="J975" t="s">
        <v>19</v>
      </c>
      <c r="K975" s="4">
        <v>3.22329</v>
      </c>
      <c r="L975" s="6" cm="1">
        <f t="array" ref="L975">_xlfn.PERCENTILE.INC(_xlfn._xlws.FILTER(tabla_base[Rendimiento_por_hectarea_ton], tabla_base[tipo_cultivo]=tabla_base[[#This Row],[tipo_cultivo]]), 0.75)</f>
        <v>5.1635450000000001</v>
      </c>
      <c r="M975" s="7" t="str">
        <f>IF(tabla_base[[#This Row],[Rendimiento_por_hectarea_ton]]&gt;tabla_base[[#This Row],[percentil_0,75]],"Sí","No")</f>
        <v>No</v>
      </c>
      <c r="N975" s="3">
        <v>0.55000000000000004</v>
      </c>
      <c r="O975" t="s">
        <v>19</v>
      </c>
    </row>
    <row r="976" spans="1:15" x14ac:dyDescent="0.35">
      <c r="A976" t="s">
        <v>1010</v>
      </c>
      <c r="B976" t="s">
        <v>16</v>
      </c>
      <c r="C976" t="s">
        <v>23</v>
      </c>
      <c r="D976" t="s">
        <v>24</v>
      </c>
      <c r="E976" s="3">
        <v>36.32</v>
      </c>
      <c r="F976" s="3">
        <v>6.57</v>
      </c>
      <c r="G976" s="3">
        <v>29.4</v>
      </c>
      <c r="H976" s="4">
        <v>93.31</v>
      </c>
      <c r="I976" s="3">
        <v>59.1</v>
      </c>
      <c r="J976" t="s">
        <v>37</v>
      </c>
      <c r="K976" s="4">
        <v>5.4069099999999999</v>
      </c>
      <c r="L976" s="6" cm="1">
        <f t="array" ref="L976">_xlfn.PERCENTILE.INC(_xlfn._xlws.FILTER(tabla_base[Rendimiento_por_hectarea_ton], tabla_base[tipo_cultivo]=tabla_base[[#This Row],[tipo_cultivo]]), 0.75)</f>
        <v>5.3984449999999997</v>
      </c>
      <c r="M976" s="7" t="str">
        <f>IF(tabla_base[[#This Row],[Rendimiento_por_hectarea_ton]]&gt;tabla_base[[#This Row],[percentil_0,75]],"Sí","No")</f>
        <v>Sí</v>
      </c>
      <c r="N976" s="3">
        <v>0.89</v>
      </c>
      <c r="O976" t="s">
        <v>20</v>
      </c>
    </row>
    <row r="977" spans="1:15" x14ac:dyDescent="0.35">
      <c r="A977" t="s">
        <v>1011</v>
      </c>
      <c r="B977" t="s">
        <v>22</v>
      </c>
      <c r="C977" t="s">
        <v>17</v>
      </c>
      <c r="D977" t="s">
        <v>547</v>
      </c>
      <c r="E977" s="3">
        <v>34.72</v>
      </c>
      <c r="F977" s="3">
        <v>7.47</v>
      </c>
      <c r="G977" s="3">
        <v>19.100000000000001</v>
      </c>
      <c r="H977" s="4">
        <v>222.24</v>
      </c>
      <c r="I977" s="3">
        <v>78.150000000000006</v>
      </c>
      <c r="J977" t="s">
        <v>19</v>
      </c>
      <c r="K977" s="4">
        <v>4.64703</v>
      </c>
      <c r="L977" s="6" cm="1">
        <f t="array" ref="L977">_xlfn.PERCENTILE.INC(_xlfn._xlws.FILTER(tabla_base[Rendimiento_por_hectarea_ton], tabla_base[tipo_cultivo]=tabla_base[[#This Row],[tipo_cultivo]]), 0.75)</f>
        <v>5.2323700000000004</v>
      </c>
      <c r="M977" s="7" t="str">
        <f>IF(tabla_base[[#This Row],[Rendimiento_por_hectarea_ton]]&gt;tabla_base[[#This Row],[percentil_0,75]],"Sí","No")</f>
        <v>No</v>
      </c>
      <c r="N977" s="3">
        <v>0.67</v>
      </c>
      <c r="O977" t="s">
        <v>26</v>
      </c>
    </row>
    <row r="978" spans="1:15" x14ac:dyDescent="0.35">
      <c r="A978" t="s">
        <v>1012</v>
      </c>
      <c r="B978" t="s">
        <v>16</v>
      </c>
      <c r="C978" t="s">
        <v>30</v>
      </c>
      <c r="D978" t="s">
        <v>547</v>
      </c>
      <c r="E978" s="3">
        <v>24.72</v>
      </c>
      <c r="F978" s="3">
        <v>7.41</v>
      </c>
      <c r="G978" s="3">
        <v>32.43</v>
      </c>
      <c r="H978" s="4">
        <v>164.57</v>
      </c>
      <c r="I978" s="3">
        <v>60.79</v>
      </c>
      <c r="J978" t="s">
        <v>25</v>
      </c>
      <c r="K978" s="4">
        <v>3.36463</v>
      </c>
      <c r="L978" s="6" cm="1">
        <f t="array" ref="L978">_xlfn.PERCENTILE.INC(_xlfn._xlws.FILTER(tabla_base[Rendimiento_por_hectarea_ton], tabla_base[tipo_cultivo]=tabla_base[[#This Row],[tipo_cultivo]]), 0.75)</f>
        <v>5.2323700000000004</v>
      </c>
      <c r="M978" s="7" t="str">
        <f>IF(tabla_base[[#This Row],[Rendimiento_por_hectarea_ton]]&gt;tabla_base[[#This Row],[percentil_0,75]],"Sí","No")</f>
        <v>No</v>
      </c>
      <c r="N978" s="3">
        <v>0.9</v>
      </c>
      <c r="O978" t="s">
        <v>26</v>
      </c>
    </row>
    <row r="979" spans="1:15" x14ac:dyDescent="0.35">
      <c r="A979" t="s">
        <v>1013</v>
      </c>
      <c r="B979" t="s">
        <v>16</v>
      </c>
      <c r="C979" t="s">
        <v>30</v>
      </c>
      <c r="D979" t="s">
        <v>35</v>
      </c>
      <c r="E979" s="3">
        <v>28.64</v>
      </c>
      <c r="F979" s="3">
        <v>6.31</v>
      </c>
      <c r="G979" s="3">
        <v>22.07</v>
      </c>
      <c r="H979" s="4">
        <v>297.19</v>
      </c>
      <c r="I979" s="3">
        <v>73.180000000000007</v>
      </c>
      <c r="J979" t="s">
        <v>37</v>
      </c>
      <c r="K979" s="4">
        <v>5.22173</v>
      </c>
      <c r="L979" s="6" cm="1">
        <f t="array" ref="L979">_xlfn.PERCENTILE.INC(_xlfn._xlws.FILTER(tabla_base[Rendimiento_por_hectarea_ton], tabla_base[tipo_cultivo]=tabla_base[[#This Row],[tipo_cultivo]]), 0.75)</f>
        <v>5.1318025</v>
      </c>
      <c r="M979" s="7" t="str">
        <f>IF(tabla_base[[#This Row],[Rendimiento_por_hectarea_ton]]&gt;tabla_base[[#This Row],[percentil_0,75]],"Sí","No")</f>
        <v>Sí</v>
      </c>
      <c r="N979" s="3">
        <v>0.86</v>
      </c>
      <c r="O979" t="s">
        <v>26</v>
      </c>
    </row>
    <row r="980" spans="1:15" x14ac:dyDescent="0.35">
      <c r="A980" t="s">
        <v>1014</v>
      </c>
      <c r="B980" t="s">
        <v>22</v>
      </c>
      <c r="C980" t="s">
        <v>17</v>
      </c>
      <c r="D980" t="s">
        <v>33</v>
      </c>
      <c r="E980" s="3">
        <v>23.93</v>
      </c>
      <c r="F980" s="3">
        <v>6.56</v>
      </c>
      <c r="G980" s="3">
        <v>16.100000000000001</v>
      </c>
      <c r="H980" s="4">
        <v>177.14</v>
      </c>
      <c r="I980" s="3">
        <v>86.52</v>
      </c>
      <c r="J980" t="s">
        <v>19</v>
      </c>
      <c r="K980" s="4">
        <v>2.8741400000000001</v>
      </c>
      <c r="L980" s="6" cm="1">
        <f t="array" ref="L980">_xlfn.PERCENTILE.INC(_xlfn._xlws.FILTER(tabla_base[Rendimiento_por_hectarea_ton], tabla_base[tipo_cultivo]=tabla_base[[#This Row],[tipo_cultivo]]), 0.75)</f>
        <v>5.1635450000000001</v>
      </c>
      <c r="M980" s="7" t="str">
        <f>IF(tabla_base[[#This Row],[Rendimiento_por_hectarea_ton]]&gt;tabla_base[[#This Row],[percentil_0,75]],"Sí","No")</f>
        <v>No</v>
      </c>
      <c r="N980" s="3">
        <v>0.67</v>
      </c>
      <c r="O980" t="s">
        <v>20</v>
      </c>
    </row>
    <row r="981" spans="1:15" x14ac:dyDescent="0.35">
      <c r="A981" t="s">
        <v>1015</v>
      </c>
      <c r="B981" t="s">
        <v>22</v>
      </c>
      <c r="C981" t="s">
        <v>23</v>
      </c>
      <c r="D981" t="s">
        <v>24</v>
      </c>
      <c r="E981" s="3">
        <v>23.69</v>
      </c>
      <c r="F981" s="3">
        <v>6.18</v>
      </c>
      <c r="G981" s="3">
        <v>28.25</v>
      </c>
      <c r="H981" s="4">
        <v>164.8</v>
      </c>
      <c r="I981" s="3">
        <v>62.89</v>
      </c>
      <c r="J981" t="s">
        <v>19</v>
      </c>
      <c r="K981" s="4">
        <v>4.7704899999999997</v>
      </c>
      <c r="L981" s="6" cm="1">
        <f t="array" ref="L981">_xlfn.PERCENTILE.INC(_xlfn._xlws.FILTER(tabla_base[Rendimiento_por_hectarea_ton], tabla_base[tipo_cultivo]=tabla_base[[#This Row],[tipo_cultivo]]), 0.75)</f>
        <v>5.3984449999999997</v>
      </c>
      <c r="M981" s="7" t="str">
        <f>IF(tabla_base[[#This Row],[Rendimiento_por_hectarea_ton]]&gt;tabla_base[[#This Row],[percentil_0,75]],"Sí","No")</f>
        <v>No</v>
      </c>
      <c r="N981" s="3">
        <v>0.68</v>
      </c>
      <c r="O981" t="s">
        <v>20</v>
      </c>
    </row>
    <row r="982" spans="1:15" x14ac:dyDescent="0.35">
      <c r="A982" t="s">
        <v>1016</v>
      </c>
      <c r="B982" t="s">
        <v>16</v>
      </c>
      <c r="C982" t="s">
        <v>17</v>
      </c>
      <c r="D982" t="s">
        <v>31</v>
      </c>
      <c r="E982" s="3">
        <v>34.82</v>
      </c>
      <c r="F982" s="3">
        <v>6.71</v>
      </c>
      <c r="G982" s="3">
        <v>23.54</v>
      </c>
      <c r="H982" s="4">
        <v>187.44</v>
      </c>
      <c r="I982" s="3">
        <v>84.25</v>
      </c>
      <c r="J982" t="s">
        <v>19</v>
      </c>
      <c r="K982" s="4">
        <v>3.15035</v>
      </c>
      <c r="L982" s="6" cm="1">
        <f t="array" ref="L982">_xlfn.PERCENTILE.INC(_xlfn._xlws.FILTER(tabla_base[Rendimiento_por_hectarea_ton], tabla_base[tipo_cultivo]=tabla_base[[#This Row],[tipo_cultivo]]), 0.75)</f>
        <v>5.1742550000000005</v>
      </c>
      <c r="M982" s="7" t="str">
        <f>IF(tabla_base[[#This Row],[Rendimiento_por_hectarea_ton]]&gt;tabla_base[[#This Row],[percentil_0,75]],"Sí","No")</f>
        <v>No</v>
      </c>
      <c r="N982" s="3">
        <v>0.73</v>
      </c>
      <c r="O982" t="s">
        <v>19</v>
      </c>
    </row>
    <row r="983" spans="1:15" x14ac:dyDescent="0.35">
      <c r="A983" t="s">
        <v>1017</v>
      </c>
      <c r="B983" t="s">
        <v>22</v>
      </c>
      <c r="C983" t="s">
        <v>17</v>
      </c>
      <c r="D983" t="s">
        <v>35</v>
      </c>
      <c r="E983" s="3">
        <v>36.799999999999997</v>
      </c>
      <c r="F983" s="3">
        <v>6.82</v>
      </c>
      <c r="G983" s="3">
        <v>22.35</v>
      </c>
      <c r="H983" s="4">
        <v>172.3</v>
      </c>
      <c r="I983" s="3">
        <v>75.33</v>
      </c>
      <c r="J983" t="s">
        <v>25</v>
      </c>
      <c r="K983" s="4">
        <v>5.4888700000000004</v>
      </c>
      <c r="L983" s="6" cm="1">
        <f t="array" ref="L983">_xlfn.PERCENTILE.INC(_xlfn._xlws.FILTER(tabla_base[Rendimiento_por_hectarea_ton], tabla_base[tipo_cultivo]=tabla_base[[#This Row],[tipo_cultivo]]), 0.75)</f>
        <v>5.1318025</v>
      </c>
      <c r="M983" s="7" t="str">
        <f>IF(tabla_base[[#This Row],[Rendimiento_por_hectarea_ton]]&gt;tabla_base[[#This Row],[percentil_0,75]],"Sí","No")</f>
        <v>Sí</v>
      </c>
      <c r="N983" s="3">
        <v>0.77</v>
      </c>
      <c r="O983" t="s">
        <v>26</v>
      </c>
    </row>
    <row r="984" spans="1:15" x14ac:dyDescent="0.35">
      <c r="A984" t="s">
        <v>1018</v>
      </c>
      <c r="B984" t="s">
        <v>16</v>
      </c>
      <c r="C984" t="s">
        <v>40</v>
      </c>
      <c r="D984" t="s">
        <v>35</v>
      </c>
      <c r="E984" s="3">
        <v>24.99</v>
      </c>
      <c r="F984" s="3">
        <v>6.31</v>
      </c>
      <c r="G984" s="3">
        <v>33.159999999999997</v>
      </c>
      <c r="H984" s="4">
        <v>228.5</v>
      </c>
      <c r="I984" s="3">
        <v>69.010000000000005</v>
      </c>
      <c r="J984" t="s">
        <v>19</v>
      </c>
      <c r="K984" s="4">
        <v>6.39229</v>
      </c>
      <c r="L984" s="6" cm="1">
        <f t="array" ref="L984">_xlfn.PERCENTILE.INC(_xlfn._xlws.FILTER(tabla_base[Rendimiento_por_hectarea_ton], tabla_base[tipo_cultivo]=tabla_base[[#This Row],[tipo_cultivo]]), 0.75)</f>
        <v>5.1318025</v>
      </c>
      <c r="M984" s="7" t="str">
        <f>IF(tabla_base[[#This Row],[Rendimiento_por_hectarea_ton]]&gt;tabla_base[[#This Row],[percentil_0,75]],"Sí","No")</f>
        <v>Sí</v>
      </c>
      <c r="N984" s="3">
        <v>0.72</v>
      </c>
      <c r="O984" t="s">
        <v>19</v>
      </c>
    </row>
    <row r="985" spans="1:15" x14ac:dyDescent="0.35">
      <c r="A985" t="s">
        <v>1019</v>
      </c>
      <c r="B985" t="s">
        <v>22</v>
      </c>
      <c r="C985" t="s">
        <v>17</v>
      </c>
      <c r="D985" t="s">
        <v>24</v>
      </c>
      <c r="E985" s="3">
        <v>24.27</v>
      </c>
      <c r="F985" s="3">
        <v>5.95</v>
      </c>
      <c r="G985" s="3">
        <v>33.83</v>
      </c>
      <c r="H985" s="4">
        <v>280.58999999999997</v>
      </c>
      <c r="I985" s="3">
        <v>58.72</v>
      </c>
      <c r="J985" t="s">
        <v>25</v>
      </c>
      <c r="K985" s="4">
        <v>3.4809399999999999</v>
      </c>
      <c r="L985" s="6" cm="1">
        <f t="array" ref="L985">_xlfn.PERCENTILE.INC(_xlfn._xlws.FILTER(tabla_base[Rendimiento_por_hectarea_ton], tabla_base[tipo_cultivo]=tabla_base[[#This Row],[tipo_cultivo]]), 0.75)</f>
        <v>5.3984449999999997</v>
      </c>
      <c r="M985" s="7" t="str">
        <f>IF(tabla_base[[#This Row],[Rendimiento_por_hectarea_ton]]&gt;tabla_base[[#This Row],[percentil_0,75]],"Sí","No")</f>
        <v>No</v>
      </c>
      <c r="N985" s="3">
        <v>0.57999999999999996</v>
      </c>
      <c r="O985" t="s">
        <v>20</v>
      </c>
    </row>
    <row r="986" spans="1:15" x14ac:dyDescent="0.35">
      <c r="A986" t="s">
        <v>1020</v>
      </c>
      <c r="B986" t="s">
        <v>16</v>
      </c>
      <c r="C986" t="s">
        <v>40</v>
      </c>
      <c r="D986" t="s">
        <v>31</v>
      </c>
      <c r="E986" s="3">
        <v>21.05</v>
      </c>
      <c r="F986" s="3">
        <v>6.43</v>
      </c>
      <c r="G986" s="3">
        <v>22.07</v>
      </c>
      <c r="H986" s="4">
        <v>211.66</v>
      </c>
      <c r="I986" s="3">
        <v>65.19</v>
      </c>
      <c r="J986" t="s">
        <v>28</v>
      </c>
      <c r="K986" s="4">
        <v>3.34396</v>
      </c>
      <c r="L986" s="6" cm="1">
        <f t="array" ref="L986">_xlfn.PERCENTILE.INC(_xlfn._xlws.FILTER(tabla_base[Rendimiento_por_hectarea_ton], tabla_base[tipo_cultivo]=tabla_base[[#This Row],[tipo_cultivo]]), 0.75)</f>
        <v>5.1742550000000005</v>
      </c>
      <c r="M986" s="7" t="str">
        <f>IF(tabla_base[[#This Row],[Rendimiento_por_hectarea_ton]]&gt;tabla_base[[#This Row],[percentil_0,75]],"Sí","No")</f>
        <v>No</v>
      </c>
      <c r="N986" s="3">
        <v>0.56999999999999995</v>
      </c>
      <c r="O986" t="s">
        <v>26</v>
      </c>
    </row>
    <row r="987" spans="1:15" x14ac:dyDescent="0.35">
      <c r="A987" t="s">
        <v>1021</v>
      </c>
      <c r="B987" t="s">
        <v>16</v>
      </c>
      <c r="C987" t="s">
        <v>23</v>
      </c>
      <c r="D987" t="s">
        <v>35</v>
      </c>
      <c r="E987" s="3">
        <v>20.47</v>
      </c>
      <c r="F987" s="3">
        <v>5.72</v>
      </c>
      <c r="G987" s="3">
        <v>25.97</v>
      </c>
      <c r="H987" s="4">
        <v>108.66</v>
      </c>
      <c r="I987" s="3">
        <v>88.52</v>
      </c>
      <c r="J987" t="s">
        <v>25</v>
      </c>
      <c r="K987" s="4">
        <v>3.9457300000000002</v>
      </c>
      <c r="L987" s="6" cm="1">
        <f t="array" ref="L987">_xlfn.PERCENTILE.INC(_xlfn._xlws.FILTER(tabla_base[Rendimiento_por_hectarea_ton], tabla_base[tipo_cultivo]=tabla_base[[#This Row],[tipo_cultivo]]), 0.75)</f>
        <v>5.1318025</v>
      </c>
      <c r="M987" s="7" t="str">
        <f>IF(tabla_base[[#This Row],[Rendimiento_por_hectarea_ton]]&gt;tabla_base[[#This Row],[percentil_0,75]],"Sí","No")</f>
        <v>No</v>
      </c>
      <c r="N987" s="3">
        <v>0.75</v>
      </c>
      <c r="O987" t="s">
        <v>20</v>
      </c>
    </row>
    <row r="988" spans="1:15" x14ac:dyDescent="0.35">
      <c r="A988" t="s">
        <v>1022</v>
      </c>
      <c r="B988" t="s">
        <v>16</v>
      </c>
      <c r="C988" t="s">
        <v>23</v>
      </c>
      <c r="D988" t="s">
        <v>31</v>
      </c>
      <c r="E988" s="3">
        <v>33.76</v>
      </c>
      <c r="F988" s="3">
        <v>6.13</v>
      </c>
      <c r="G988" s="3">
        <v>16.5</v>
      </c>
      <c r="H988" s="4">
        <v>267.81</v>
      </c>
      <c r="I988" s="3">
        <v>67.989999999999995</v>
      </c>
      <c r="J988" t="s">
        <v>28</v>
      </c>
      <c r="K988" s="4">
        <v>3.3584800000000001</v>
      </c>
      <c r="L988" s="6" cm="1">
        <f t="array" ref="L988">_xlfn.PERCENTILE.INC(_xlfn._xlws.FILTER(tabla_base[Rendimiento_por_hectarea_ton], tabla_base[tipo_cultivo]=tabla_base[[#This Row],[tipo_cultivo]]), 0.75)</f>
        <v>5.1742550000000005</v>
      </c>
      <c r="M988" s="7" t="str">
        <f>IF(tabla_base[[#This Row],[Rendimiento_por_hectarea_ton]]&gt;tabla_base[[#This Row],[percentil_0,75]],"Sí","No")</f>
        <v>No</v>
      </c>
      <c r="N988" s="3">
        <v>0.72</v>
      </c>
      <c r="O988" t="s">
        <v>20</v>
      </c>
    </row>
    <row r="989" spans="1:15" x14ac:dyDescent="0.35">
      <c r="A989" t="s">
        <v>1023</v>
      </c>
      <c r="B989" t="s">
        <v>22</v>
      </c>
      <c r="C989" t="s">
        <v>23</v>
      </c>
      <c r="D989" t="s">
        <v>33</v>
      </c>
      <c r="E989" s="3">
        <v>18.829999999999998</v>
      </c>
      <c r="F989" s="3">
        <v>6.02</v>
      </c>
      <c r="G989" s="3">
        <v>16.62</v>
      </c>
      <c r="H989" s="4">
        <v>50.78</v>
      </c>
      <c r="I989" s="3">
        <v>73.42</v>
      </c>
      <c r="J989" t="s">
        <v>25</v>
      </c>
      <c r="K989" s="4">
        <v>6.1735800000000003</v>
      </c>
      <c r="L989" s="6" cm="1">
        <f t="array" ref="L989">_xlfn.PERCENTILE.INC(_xlfn._xlws.FILTER(tabla_base[Rendimiento_por_hectarea_ton], tabla_base[tipo_cultivo]=tabla_base[[#This Row],[tipo_cultivo]]), 0.75)</f>
        <v>5.1635450000000001</v>
      </c>
      <c r="M989" s="7" t="str">
        <f>IF(tabla_base[[#This Row],[Rendimiento_por_hectarea_ton]]&gt;tabla_base[[#This Row],[percentil_0,75]],"Sí","No")</f>
        <v>Sí</v>
      </c>
      <c r="N989" s="3">
        <v>0.68</v>
      </c>
      <c r="O989" t="s">
        <v>26</v>
      </c>
    </row>
    <row r="990" spans="1:15" x14ac:dyDescent="0.35">
      <c r="A990" t="s">
        <v>1024</v>
      </c>
      <c r="B990" t="s">
        <v>22</v>
      </c>
      <c r="C990" t="s">
        <v>23</v>
      </c>
      <c r="D990" t="s">
        <v>33</v>
      </c>
      <c r="E990" s="3">
        <v>21.61</v>
      </c>
      <c r="F990" s="3">
        <v>6.36</v>
      </c>
      <c r="G990" s="3">
        <v>32.61</v>
      </c>
      <c r="H990" s="4">
        <v>55.07</v>
      </c>
      <c r="I990" s="3">
        <v>58.26</v>
      </c>
      <c r="J990" t="s">
        <v>25</v>
      </c>
      <c r="K990" s="4">
        <v>3.57924</v>
      </c>
      <c r="L990" s="6" cm="1">
        <f t="array" ref="L990">_xlfn.PERCENTILE.INC(_xlfn._xlws.FILTER(tabla_base[Rendimiento_por_hectarea_ton], tabla_base[tipo_cultivo]=tabla_base[[#This Row],[tipo_cultivo]]), 0.75)</f>
        <v>5.1635450000000001</v>
      </c>
      <c r="M990" s="7" t="str">
        <f>IF(tabla_base[[#This Row],[Rendimiento_por_hectarea_ton]]&gt;tabla_base[[#This Row],[percentil_0,75]],"Sí","No")</f>
        <v>No</v>
      </c>
      <c r="N990" s="3">
        <v>0.55000000000000004</v>
      </c>
      <c r="O990" t="s">
        <v>20</v>
      </c>
    </row>
    <row r="991" spans="1:15" x14ac:dyDescent="0.35">
      <c r="A991" t="s">
        <v>1025</v>
      </c>
      <c r="B991" t="s">
        <v>16</v>
      </c>
      <c r="C991" t="s">
        <v>17</v>
      </c>
      <c r="D991" t="s">
        <v>18</v>
      </c>
      <c r="E991" s="3">
        <v>32.6</v>
      </c>
      <c r="F991" s="3">
        <v>6.17</v>
      </c>
      <c r="G991" s="3">
        <v>34.590000000000003</v>
      </c>
      <c r="H991" s="4">
        <v>149.26</v>
      </c>
      <c r="I991" s="3">
        <v>54.23</v>
      </c>
      <c r="J991" t="s">
        <v>19</v>
      </c>
      <c r="K991" s="4">
        <v>2.7192099999999999</v>
      </c>
      <c r="L991" s="6" cm="1">
        <f t="array" ref="L991">_xlfn.PERCENTILE.INC(_xlfn._xlws.FILTER(tabla_base[Rendimiento_por_hectarea_ton], tabla_base[tipo_cultivo]=tabla_base[[#This Row],[tipo_cultivo]]), 0.75)</f>
        <v>5.2079399999999998</v>
      </c>
      <c r="M991" s="7" t="str">
        <f>IF(tabla_base[[#This Row],[Rendimiento_por_hectarea_ton]]&gt;tabla_base[[#This Row],[percentil_0,75]],"Sí","No")</f>
        <v>No</v>
      </c>
      <c r="N991" s="3">
        <v>0.66</v>
      </c>
      <c r="O991" t="s">
        <v>26</v>
      </c>
    </row>
    <row r="992" spans="1:15" x14ac:dyDescent="0.35">
      <c r="A992" t="s">
        <v>1026</v>
      </c>
      <c r="B992" t="s">
        <v>22</v>
      </c>
      <c r="C992" t="s">
        <v>17</v>
      </c>
      <c r="D992" t="s">
        <v>33</v>
      </c>
      <c r="E992" s="3">
        <v>21.61</v>
      </c>
      <c r="F992" s="3">
        <v>6.16</v>
      </c>
      <c r="G992" s="3">
        <v>31.21</v>
      </c>
      <c r="H992" s="4">
        <v>139.31</v>
      </c>
      <c r="I992" s="3">
        <v>63.14</v>
      </c>
      <c r="J992" t="s">
        <v>37</v>
      </c>
      <c r="K992" s="4">
        <v>3.7950300000000001</v>
      </c>
      <c r="L992" s="6" cm="1">
        <f t="array" ref="L992">_xlfn.PERCENTILE.INC(_xlfn._xlws.FILTER(tabla_base[Rendimiento_por_hectarea_ton], tabla_base[tipo_cultivo]=tabla_base[[#This Row],[tipo_cultivo]]), 0.75)</f>
        <v>5.1635450000000001</v>
      </c>
      <c r="M992" s="7" t="str">
        <f>IF(tabla_base[[#This Row],[Rendimiento_por_hectarea_ton]]&gt;tabla_base[[#This Row],[percentil_0,75]],"Sí","No")</f>
        <v>No</v>
      </c>
      <c r="N992" s="3">
        <v>0.75</v>
      </c>
      <c r="O992" t="s">
        <v>20</v>
      </c>
    </row>
    <row r="993" spans="1:15" x14ac:dyDescent="0.35">
      <c r="A993" t="s">
        <v>1027</v>
      </c>
      <c r="B993" t="s">
        <v>16</v>
      </c>
      <c r="C993" t="s">
        <v>17</v>
      </c>
      <c r="D993" t="s">
        <v>18</v>
      </c>
      <c r="E993" s="3">
        <v>21.15</v>
      </c>
      <c r="F993" s="3">
        <v>5.58</v>
      </c>
      <c r="G993" s="3">
        <v>20.66</v>
      </c>
      <c r="H993" s="4">
        <v>218.32</v>
      </c>
      <c r="I993" s="3">
        <v>56.38</v>
      </c>
      <c r="J993" t="s">
        <v>28</v>
      </c>
      <c r="K993" s="4">
        <v>4.02142</v>
      </c>
      <c r="L993" s="6" cm="1">
        <f t="array" ref="L993">_xlfn.PERCENTILE.INC(_xlfn._xlws.FILTER(tabla_base[Rendimiento_por_hectarea_ton], tabla_base[tipo_cultivo]=tabla_base[[#This Row],[tipo_cultivo]]), 0.75)</f>
        <v>5.2079399999999998</v>
      </c>
      <c r="M993" s="7" t="str">
        <f>IF(tabla_base[[#This Row],[Rendimiento_por_hectarea_ton]]&gt;tabla_base[[#This Row],[percentil_0,75]],"Sí","No")</f>
        <v>No</v>
      </c>
      <c r="N993" s="3">
        <v>0.77</v>
      </c>
      <c r="O993" t="s">
        <v>26</v>
      </c>
    </row>
    <row r="994" spans="1:15" x14ac:dyDescent="0.35">
      <c r="A994" t="s">
        <v>1028</v>
      </c>
      <c r="B994" t="s">
        <v>16</v>
      </c>
      <c r="C994" t="s">
        <v>23</v>
      </c>
      <c r="D994" t="s">
        <v>35</v>
      </c>
      <c r="E994" s="3">
        <v>30.66</v>
      </c>
      <c r="F994" s="3">
        <v>6.39</v>
      </c>
      <c r="G994" s="3">
        <v>29.16</v>
      </c>
      <c r="H994" s="4">
        <v>93.76</v>
      </c>
      <c r="I994" s="3">
        <v>84.14</v>
      </c>
      <c r="J994" t="s">
        <v>28</v>
      </c>
      <c r="K994" s="4">
        <v>5.4755700000000003</v>
      </c>
      <c r="L994" s="6" cm="1">
        <f t="array" ref="L994">_xlfn.PERCENTILE.INC(_xlfn._xlws.FILTER(tabla_base[Rendimiento_por_hectarea_ton], tabla_base[tipo_cultivo]=tabla_base[[#This Row],[tipo_cultivo]]), 0.75)</f>
        <v>5.1318025</v>
      </c>
      <c r="M994" s="7" t="str">
        <f>IF(tabla_base[[#This Row],[Rendimiento_por_hectarea_ton]]&gt;tabla_base[[#This Row],[percentil_0,75]],"Sí","No")</f>
        <v>Sí</v>
      </c>
      <c r="N994" s="3">
        <v>0.75</v>
      </c>
      <c r="O994" t="s">
        <v>19</v>
      </c>
    </row>
    <row r="995" spans="1:15" x14ac:dyDescent="0.35">
      <c r="A995" t="s">
        <v>1029</v>
      </c>
      <c r="B995" t="s">
        <v>16</v>
      </c>
      <c r="C995" t="s">
        <v>17</v>
      </c>
      <c r="D995" t="s">
        <v>35</v>
      </c>
      <c r="E995" s="3">
        <v>34.479999999999997</v>
      </c>
      <c r="F995" s="3">
        <v>7.08</v>
      </c>
      <c r="G995" s="3">
        <v>18.23</v>
      </c>
      <c r="H995" s="4">
        <v>270.97000000000003</v>
      </c>
      <c r="I995" s="3">
        <v>79.66</v>
      </c>
      <c r="J995" t="s">
        <v>37</v>
      </c>
      <c r="K995" s="4">
        <v>5.141</v>
      </c>
      <c r="L995" s="6" cm="1">
        <f t="array" ref="L995">_xlfn.PERCENTILE.INC(_xlfn._xlws.FILTER(tabla_base[Rendimiento_por_hectarea_ton], tabla_base[tipo_cultivo]=tabla_base[[#This Row],[tipo_cultivo]]), 0.75)</f>
        <v>5.1318025</v>
      </c>
      <c r="M995" s="7" t="str">
        <f>IF(tabla_base[[#This Row],[Rendimiento_por_hectarea_ton]]&gt;tabla_base[[#This Row],[percentil_0,75]],"Sí","No")</f>
        <v>Sí</v>
      </c>
      <c r="N995" s="3">
        <v>0.72</v>
      </c>
      <c r="O995" t="s">
        <v>19</v>
      </c>
    </row>
    <row r="996" spans="1:15" x14ac:dyDescent="0.35">
      <c r="A996" t="s">
        <v>1030</v>
      </c>
      <c r="B996" t="s">
        <v>22</v>
      </c>
      <c r="C996" t="s">
        <v>23</v>
      </c>
      <c r="D996" t="s">
        <v>31</v>
      </c>
      <c r="E996" s="3">
        <v>20.66</v>
      </c>
      <c r="F996" s="3">
        <v>7.37</v>
      </c>
      <c r="G996" s="3">
        <v>22.66</v>
      </c>
      <c r="H996" s="4">
        <v>166.89</v>
      </c>
      <c r="I996" s="3">
        <v>68.66</v>
      </c>
      <c r="J996" t="s">
        <v>25</v>
      </c>
      <c r="K996" s="4">
        <v>2.6766000000000001</v>
      </c>
      <c r="L996" s="6" cm="1">
        <f t="array" ref="L996">_xlfn.PERCENTILE.INC(_xlfn._xlws.FILTER(tabla_base[Rendimiento_por_hectarea_ton], tabla_base[tipo_cultivo]=tabla_base[[#This Row],[tipo_cultivo]]), 0.75)</f>
        <v>5.1742550000000005</v>
      </c>
      <c r="M996" s="7" t="str">
        <f>IF(tabla_base[[#This Row],[Rendimiento_por_hectarea_ton]]&gt;tabla_base[[#This Row],[percentil_0,75]],"Sí","No")</f>
        <v>No</v>
      </c>
      <c r="N996" s="3">
        <v>0.6</v>
      </c>
      <c r="O996" t="s">
        <v>19</v>
      </c>
    </row>
    <row r="997" spans="1:15" x14ac:dyDescent="0.35">
      <c r="A997" t="s">
        <v>1031</v>
      </c>
      <c r="B997" t="s">
        <v>22</v>
      </c>
      <c r="C997" t="s">
        <v>40</v>
      </c>
      <c r="D997" t="s">
        <v>35</v>
      </c>
      <c r="E997" s="3">
        <v>35.5</v>
      </c>
      <c r="F997" s="3">
        <v>5.8</v>
      </c>
      <c r="G997" s="3">
        <v>17.079999999999998</v>
      </c>
      <c r="H997" s="4">
        <v>79.489999999999995</v>
      </c>
      <c r="I997" s="3">
        <v>59.46</v>
      </c>
      <c r="J997" t="s">
        <v>37</v>
      </c>
      <c r="K997" s="4">
        <v>2.5455999999999999</v>
      </c>
      <c r="L997" s="6" cm="1">
        <f t="array" ref="L997">_xlfn.PERCENTILE.INC(_xlfn._xlws.FILTER(tabla_base[Rendimiento_por_hectarea_ton], tabla_base[tipo_cultivo]=tabla_base[[#This Row],[tipo_cultivo]]), 0.75)</f>
        <v>5.1318025</v>
      </c>
      <c r="M997" s="7" t="str">
        <f>IF(tabla_base[[#This Row],[Rendimiento_por_hectarea_ton]]&gt;tabla_base[[#This Row],[percentil_0,75]],"Sí","No")</f>
        <v>No</v>
      </c>
      <c r="N997" s="3">
        <v>0.56000000000000005</v>
      </c>
      <c r="O997" t="s">
        <v>26</v>
      </c>
    </row>
    <row r="998" spans="1:15" x14ac:dyDescent="0.35">
      <c r="A998" t="s">
        <v>1032</v>
      </c>
      <c r="B998" t="s">
        <v>16</v>
      </c>
      <c r="C998" t="s">
        <v>40</v>
      </c>
      <c r="D998" t="s">
        <v>31</v>
      </c>
      <c r="E998" s="3">
        <v>18.670000000000002</v>
      </c>
      <c r="F998" s="3">
        <v>5.82</v>
      </c>
      <c r="G998" s="3">
        <v>27.13</v>
      </c>
      <c r="H998" s="4">
        <v>134.53</v>
      </c>
      <c r="I998" s="3">
        <v>62.2</v>
      </c>
      <c r="J998" t="s">
        <v>19</v>
      </c>
      <c r="K998" s="4">
        <v>3.9098899999999999</v>
      </c>
      <c r="L998" s="6" cm="1">
        <f t="array" ref="L998">_xlfn.PERCENTILE.INC(_xlfn._xlws.FILTER(tabla_base[Rendimiento_por_hectarea_ton], tabla_base[tipo_cultivo]=tabla_base[[#This Row],[tipo_cultivo]]), 0.75)</f>
        <v>5.1742550000000005</v>
      </c>
      <c r="M998" s="7" t="str">
        <f>IF(tabla_base[[#This Row],[Rendimiento_por_hectarea_ton]]&gt;tabla_base[[#This Row],[percentil_0,75]],"Sí","No")</f>
        <v>No</v>
      </c>
      <c r="N998" s="3">
        <v>0.66</v>
      </c>
      <c r="O998" t="s">
        <v>19</v>
      </c>
    </row>
    <row r="999" spans="1:15" x14ac:dyDescent="0.35">
      <c r="A999" t="s">
        <v>1033</v>
      </c>
      <c r="B999" t="s">
        <v>16</v>
      </c>
      <c r="C999" t="s">
        <v>17</v>
      </c>
      <c r="D999" t="s">
        <v>31</v>
      </c>
      <c r="E999" s="3">
        <v>26.33</v>
      </c>
      <c r="F999" s="3">
        <v>6.51</v>
      </c>
      <c r="G999" s="3">
        <v>28.31</v>
      </c>
      <c r="H999" s="4">
        <v>122.01</v>
      </c>
      <c r="I999" s="3">
        <v>85.72</v>
      </c>
      <c r="J999" t="s">
        <v>25</v>
      </c>
      <c r="K999" s="4">
        <v>4.29664</v>
      </c>
      <c r="L999" s="6" cm="1">
        <f t="array" ref="L999">_xlfn.PERCENTILE.INC(_xlfn._xlws.FILTER(tabla_base[Rendimiento_por_hectarea_ton], tabla_base[tipo_cultivo]=tabla_base[[#This Row],[tipo_cultivo]]), 0.75)</f>
        <v>5.1742550000000005</v>
      </c>
      <c r="M999" s="7" t="str">
        <f>IF(tabla_base[[#This Row],[Rendimiento_por_hectarea_ton]]&gt;tabla_base[[#This Row],[percentil_0,75]],"Sí","No")</f>
        <v>No</v>
      </c>
      <c r="N999" s="3">
        <v>0.72</v>
      </c>
      <c r="O999" t="s">
        <v>19</v>
      </c>
    </row>
    <row r="1000" spans="1:15" x14ac:dyDescent="0.35">
      <c r="A1000" t="s">
        <v>1034</v>
      </c>
      <c r="B1000" t="s">
        <v>22</v>
      </c>
      <c r="C1000" t="s">
        <v>30</v>
      </c>
      <c r="D1000" t="s">
        <v>24</v>
      </c>
      <c r="E1000" s="3">
        <v>37</v>
      </c>
      <c r="F1000" s="3">
        <v>6.07</v>
      </c>
      <c r="G1000" s="3">
        <v>29.23</v>
      </c>
      <c r="H1000" s="4">
        <v>218.76</v>
      </c>
      <c r="I1000" s="3">
        <v>85.01</v>
      </c>
      <c r="J1000" t="s">
        <v>37</v>
      </c>
      <c r="K1000" s="4">
        <v>4.9577200000000001</v>
      </c>
      <c r="L1000" s="6" cm="1">
        <f t="array" ref="L1000">_xlfn.PERCENTILE.INC(_xlfn._xlws.FILTER(tabla_base[Rendimiento_por_hectarea_ton], tabla_base[tipo_cultivo]=tabla_base[[#This Row],[tipo_cultivo]]), 0.75)</f>
        <v>5.3984449999999997</v>
      </c>
      <c r="M1000" s="7" t="str">
        <f>IF(tabla_base[[#This Row],[Rendimiento_por_hectarea_ton]]&gt;tabla_base[[#This Row],[percentil_0,75]],"Sí","No")</f>
        <v>No</v>
      </c>
      <c r="N1000" s="3">
        <v>0.67</v>
      </c>
      <c r="O1000" t="s">
        <v>20</v>
      </c>
    </row>
    <row r="1001" spans="1:15" x14ac:dyDescent="0.35">
      <c r="A1001" t="s">
        <v>1035</v>
      </c>
      <c r="B1001" t="s">
        <v>16</v>
      </c>
      <c r="C1001" t="s">
        <v>17</v>
      </c>
      <c r="D1001" t="s">
        <v>24</v>
      </c>
      <c r="E1001" s="3">
        <v>24.28</v>
      </c>
      <c r="F1001" s="3">
        <v>7.38</v>
      </c>
      <c r="G1001" s="3">
        <v>24.93</v>
      </c>
      <c r="H1001" s="4">
        <v>204.48</v>
      </c>
      <c r="I1001" s="3">
        <v>61.45</v>
      </c>
      <c r="J1001" t="s">
        <v>25</v>
      </c>
      <c r="K1001" s="4">
        <v>5.5646500000000003</v>
      </c>
      <c r="L1001" s="6" cm="1">
        <f t="array" ref="L1001">_xlfn.PERCENTILE.INC(_xlfn._xlws.FILTER(tabla_base[Rendimiento_por_hectarea_ton], tabla_base[tipo_cultivo]=tabla_base[[#This Row],[tipo_cultivo]]), 0.75)</f>
        <v>5.3984449999999997</v>
      </c>
      <c r="M1001" s="7" t="str">
        <f>IF(tabla_base[[#This Row],[Rendimiento_por_hectarea_ton]]&gt;tabla_base[[#This Row],[percentil_0,75]],"Sí","No")</f>
        <v>Sí</v>
      </c>
      <c r="N1001" s="3">
        <v>0.66</v>
      </c>
      <c r="O1001" t="s">
        <v>26</v>
      </c>
    </row>
    <row r="1002" spans="1:15" x14ac:dyDescent="0.35">
      <c r="A1002" t="s">
        <v>1036</v>
      </c>
      <c r="B1002" t="s">
        <v>16</v>
      </c>
      <c r="C1002" t="s">
        <v>17</v>
      </c>
      <c r="D1002" t="s">
        <v>33</v>
      </c>
      <c r="E1002" s="3">
        <v>26.16</v>
      </c>
      <c r="F1002" s="3">
        <v>6.64</v>
      </c>
      <c r="G1002" s="3">
        <v>28.03</v>
      </c>
      <c r="H1002" s="4">
        <v>230.25</v>
      </c>
      <c r="I1002" s="3">
        <v>50.29</v>
      </c>
      <c r="J1002" t="s">
        <v>25</v>
      </c>
      <c r="K1002" s="4">
        <v>3.2568899999999998</v>
      </c>
      <c r="L1002" s="6" cm="1">
        <f t="array" ref="L1002">_xlfn.PERCENTILE.INC(_xlfn._xlws.FILTER(tabla_base[Rendimiento_por_hectarea_ton], tabla_base[tipo_cultivo]=tabla_base[[#This Row],[tipo_cultivo]]), 0.75)</f>
        <v>5.1635450000000001</v>
      </c>
      <c r="M1002" s="7" t="str">
        <f>IF(tabla_base[[#This Row],[Rendimiento_por_hectarea_ton]]&gt;tabla_base[[#This Row],[percentil_0,75]],"Sí","No")</f>
        <v>No</v>
      </c>
      <c r="N1002" s="3">
        <v>0.72</v>
      </c>
      <c r="O1002" t="s">
        <v>26</v>
      </c>
    </row>
  </sheetData>
  <conditionalFormatting sqref="A1:O1002">
    <cfRule type="expression" dxfId="31" priority="3">
      <formula>ISBLANK(A1)</formula>
    </cfRule>
  </conditionalFormatting>
  <conditionalFormatting sqref="E2:E100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{1D668F96-EA1F-4A8E-83F8-108E81C56843}</x14:id>
        </ext>
      </extLst>
    </cfRule>
  </conditionalFormatting>
  <conditionalFormatting sqref="F2:F1002">
    <cfRule type="cellIs" dxfId="30" priority="16" operator="between">
      <formula>5.5</formula>
      <formula>7</formula>
    </cfRule>
  </conditionalFormatting>
  <conditionalFormatting sqref="G2:G1002">
    <cfRule type="colorScale" priority="19">
      <colorScale>
        <cfvo type="min"/>
        <cfvo type="percentile" val="50"/>
        <cfvo type="max"/>
        <color theme="4" tint="0.59999389629810485"/>
        <color rgb="FFFFFF00"/>
        <color rgb="FFFF0000"/>
      </colorScale>
    </cfRule>
  </conditionalFormatting>
  <conditionalFormatting sqref="H2:H1002">
    <cfRule type="colorScale" priority="20">
      <colorScale>
        <cfvo type="min"/>
        <cfvo type="percentile" val="50"/>
        <cfvo type="max"/>
        <color theme="0"/>
        <color theme="3" tint="0.499984740745262"/>
        <color theme="3" tint="9.9978637043366805E-2"/>
      </colorScale>
    </cfRule>
  </conditionalFormatting>
  <conditionalFormatting sqref="I2:I100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{FA0F4B5A-ED90-47A3-BECD-2E359A694D17}</x14:id>
        </ext>
      </extLst>
    </cfRule>
  </conditionalFormatting>
  <conditionalFormatting sqref="M2:M108 L1:M1 K1:K108">
    <cfRule type="aboveAverage" dxfId="29" priority="9"/>
  </conditionalFormatting>
  <conditionalFormatting sqref="M2:M109 K2:K109">
    <cfRule type="aboveAverage" dxfId="28" priority="13" aboveAverage="0"/>
    <cfRule type="aboveAverage" dxfId="27" priority="14" aboveAverage="0"/>
    <cfRule type="aboveAverage" dxfId="26" priority="15"/>
  </conditionalFormatting>
  <conditionalFormatting sqref="M110:M191 K110:K191">
    <cfRule type="aboveAverage" dxfId="25" priority="10"/>
  </conditionalFormatting>
  <conditionalFormatting sqref="M110:M192 K110:K192">
    <cfRule type="aboveAverage" dxfId="24" priority="11" aboveAverage="0"/>
    <cfRule type="aboveAverage" dxfId="23" priority="12"/>
  </conditionalFormatting>
  <conditionalFormatting sqref="M193:M303 K193:K303">
    <cfRule type="aboveAverage" dxfId="22" priority="7" aboveAverage="0"/>
    <cfRule type="aboveAverage" dxfId="21" priority="8"/>
  </conditionalFormatting>
  <conditionalFormatting sqref="M305:M412 K305:K412">
    <cfRule type="aboveAverage" dxfId="20" priority="4" aboveAverage="0"/>
    <cfRule type="aboveAverage" dxfId="19" priority="5"/>
    <cfRule type="aboveAverage" priority="6"/>
  </conditionalFormatting>
  <conditionalFormatting sqref="K414:K501 M414:M1002">
    <cfRule type="aboveAverage" dxfId="18" priority="22" aboveAverage="0"/>
    <cfRule type="aboveAverage" dxfId="17" priority="23"/>
  </conditionalFormatting>
  <conditionalFormatting sqref="O2:O1002">
    <cfRule type="iconSet" priority="2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O480">
    <cfRule type="iconSet" priority="17">
      <iconSet iconSet="4Arrows">
        <cfvo type="percent" val="0"/>
        <cfvo type="percent" val="$O$434"/>
        <cfvo type="percent" val="&quot;50+$W$425&quot;"/>
        <cfvo type="percent" val="75"/>
      </iconSet>
    </cfRule>
  </conditionalFormatting>
  <conditionalFormatting sqref="K2:K1002">
    <cfRule type="aboveAverage" dxfId="16" priority="1" aboveAverage="0"/>
    <cfRule type="aboveAverage" dxfId="15" priority="2"/>
    <cfRule type="aboveAverage" dxfId="14" priority="25" aboveAverage="0"/>
    <cfRule type="aboveAverage" dxfId="13" priority="26"/>
  </conditionalFormatting>
  <dataValidations count="10">
    <dataValidation type="list" allowBlank="1" showInputMessage="1" showErrorMessage="1" sqref="P1003:P1048576 O1:O1002" xr:uid="{4B8F9FE9-3165-4754-872E-6F82030FF44F}">
      <formula1>"Moderado,Severo,Leve,Ninguno"</formula1>
    </dataValidation>
    <dataValidation type="decimal" allowBlank="1" showInputMessage="1" showErrorMessage="1" sqref="O1003:O1048576 N1:N1002" xr:uid="{83EE3907-25BB-42E1-B6E2-E49A944F7901}">
      <formula1>0</formula1>
      <formula2>1</formula2>
    </dataValidation>
    <dataValidation type="whole" allowBlank="1" showInputMessage="1" showErrorMessage="1" sqref="K1003:K1048576" xr:uid="{4D185578-EEF3-4834-8CAA-5117971E6A78}">
      <formula1>10</formula1>
      <formula2>200</formula2>
    </dataValidation>
    <dataValidation type="list" allowBlank="1" showInputMessage="1" showErrorMessage="1" sqref="J1:J1048576" xr:uid="{65C3E6BE-45D9-4A60-B2FC-BA44E715D41E}">
      <formula1>"Ninguno,Aspersor,Gotero,Manual"</formula1>
    </dataValidation>
    <dataValidation type="decimal" allowBlank="1" showInputMessage="1" showErrorMessage="1" sqref="G1:G1048576" xr:uid="{30F31FD4-3864-4F51-B7F4-27EE0F947425}">
      <formula1>-100</formula1>
      <formula2>60</formula2>
    </dataValidation>
    <dataValidation type="decimal" allowBlank="1" showInputMessage="1" showErrorMessage="1" sqref="F1:F1048576" xr:uid="{7192EA45-B3FD-4FE0-8840-0AC2059BC5BC}">
      <formula1>1</formula1>
      <formula2>14</formula2>
    </dataValidation>
    <dataValidation type="decimal" allowBlank="1" showInputMessage="1" showErrorMessage="1" sqref="E1:E1048576 I1:I1048576" xr:uid="{ED58FB1E-A3B7-4FFC-B773-F4EE1036EC32}">
      <formula1>0</formula1>
      <formula2>100</formula2>
    </dataValidation>
    <dataValidation type="list" allowBlank="1" showInputMessage="1" showErrorMessage="1" sqref="D2:D1002" xr:uid="{7ECE475C-11BA-4181-B763-7C524C4CF553}">
      <formula1>"Soja,Maíz,Trigo,Arroz,Algodón,Sorgo,Cebada,Avena,Colza"</formula1>
    </dataValidation>
    <dataValidation type="list" allowBlank="1" showInputMessage="1" showErrorMessage="1" sqref="C1:C1048576" xr:uid="{6268DC90-914F-47B3-9AF4-6D65E9D862FC}">
      <formula1>"Norte,Sur,Este,Oeste,Central"</formula1>
    </dataValidation>
    <dataValidation type="textLength" showInputMessage="1" showErrorMessage="1" promptTitle="Nombre del país" prompt="Ingrese el nombre del país" sqref="B2:B1002" xr:uid="{2CFEE674-DB20-4555-8174-8C3AA5DCA2C3}">
      <formula1>4</formula1>
      <formula2>18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68F96-EA1F-4A8E-83F8-108E81C568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E2:E1002</xm:sqref>
        </x14:conditionalFormatting>
        <x14:conditionalFormatting xmlns:xm="http://schemas.microsoft.com/office/excel/2006/main">
          <x14:cfRule type="dataBar" id="{FA0F4B5A-ED90-47A3-BECD-2E359A694D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I2:I1002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Damiani</dc:creator>
  <cp:lastModifiedBy>Gastón Damiani</cp:lastModifiedBy>
  <dcterms:created xsi:type="dcterms:W3CDTF">2026-05-20T19:14:19Z</dcterms:created>
  <dcterms:modified xsi:type="dcterms:W3CDTF">2026-05-20T19:14:43Z</dcterms:modified>
</cp:coreProperties>
</file>